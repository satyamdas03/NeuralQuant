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70287\Downloads\"/>
    </mc:Choice>
  </mc:AlternateContent>
  <xr:revisionPtr revIDLastSave="0" documentId="8_{CB5232E5-FF52-4324-A21B-78F96AD4B6BE}" xr6:coauthVersionLast="47" xr6:coauthVersionMax="47" xr10:uidLastSave="{00000000-0000-0000-0000-000000000000}"/>
  <bookViews>
    <workbookView xWindow="-110" yWindow="-110" windowWidth="19420" windowHeight="10300" tabRatio="500" firstSheet="1" activeTab="2" xr2:uid="{00000000-000D-0000-FFFF-FFFF00000000}"/>
  </bookViews>
  <sheets>
    <sheet name="AWS Substitution Map" sheetId="1" r:id="rId1"/>
    <sheet name="AWS Credit Utilisation" sheetId="2" r:id="rId2"/>
    <sheet name="Revised BOM — AWS First" sheetId="3" r:id="rId3"/>
    <sheet name="API Cost Assumptions" sheetId="5" r:id="rId4"/>
    <sheet name="SOW Changes Summary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3" i="3" l="1"/>
  <c r="G92" i="3"/>
  <c r="G91" i="3"/>
  <c r="G90" i="3"/>
  <c r="G89" i="3"/>
  <c r="G88" i="3"/>
  <c r="E93" i="3"/>
  <c r="E92" i="3"/>
  <c r="E91" i="3"/>
  <c r="E90" i="3"/>
  <c r="E89" i="3"/>
  <c r="C89" i="3"/>
  <c r="E88" i="3"/>
  <c r="C88" i="3"/>
  <c r="E43" i="5" l="1"/>
  <c r="E44" i="5" s="1"/>
  <c r="E42" i="5"/>
  <c r="E41" i="5"/>
  <c r="E40" i="5"/>
  <c r="B35" i="5"/>
  <c r="D35" i="5" s="1"/>
  <c r="F35" i="5" s="1"/>
  <c r="D34" i="5"/>
  <c r="F34" i="5" s="1"/>
  <c r="F36" i="5" s="1"/>
  <c r="C29" i="5"/>
  <c r="D29" i="5" s="1"/>
  <c r="E29" i="5" s="1"/>
  <c r="F29" i="5" s="1"/>
  <c r="E23" i="5"/>
  <c r="F23" i="5" s="1"/>
  <c r="G23" i="5" s="1"/>
  <c r="I23" i="5" s="1"/>
  <c r="E22" i="5"/>
  <c r="F22" i="5" s="1"/>
  <c r="G22" i="5" s="1"/>
  <c r="I22" i="5" s="1"/>
  <c r="E21" i="5"/>
  <c r="F21" i="5" s="1"/>
  <c r="G21" i="5" s="1"/>
  <c r="D17" i="5"/>
  <c r="D16" i="5"/>
  <c r="D15" i="5"/>
  <c r="D14" i="5"/>
  <c r="D13" i="5"/>
  <c r="D12" i="5"/>
  <c r="D11" i="5"/>
  <c r="G24" i="5" l="1"/>
  <c r="I24" i="5" s="1"/>
  <c r="I21" i="5"/>
  <c r="C30" i="5"/>
  <c r="D30" i="5" s="1"/>
  <c r="E30" i="5" s="1"/>
  <c r="F30" i="5" s="1"/>
  <c r="C28" i="5"/>
  <c r="D36" i="5"/>
  <c r="B36" i="5"/>
  <c r="C31" i="5" l="1"/>
  <c r="D28" i="5"/>
  <c r="E28" i="5" l="1"/>
  <c r="D31" i="5"/>
  <c r="B7" i="2"/>
  <c r="G78" i="3"/>
  <c r="F78" i="3"/>
  <c r="E78" i="3"/>
  <c r="D78" i="3"/>
  <c r="G72" i="3"/>
  <c r="F72" i="3"/>
  <c r="E72" i="3"/>
  <c r="D72" i="3"/>
  <c r="G64" i="3"/>
  <c r="F64" i="3"/>
  <c r="E64" i="3"/>
  <c r="D64" i="3"/>
  <c r="G57" i="3"/>
  <c r="F57" i="3"/>
  <c r="E57" i="3"/>
  <c r="D57" i="3"/>
  <c r="G48" i="3"/>
  <c r="F48" i="3"/>
  <c r="E48" i="3"/>
  <c r="D48" i="3"/>
  <c r="G38" i="3"/>
  <c r="F38" i="3"/>
  <c r="E38" i="3"/>
  <c r="D38" i="3"/>
  <c r="G33" i="3"/>
  <c r="F33" i="3"/>
  <c r="E33" i="3"/>
  <c r="D33" i="3"/>
  <c r="G29" i="3"/>
  <c r="F29" i="3"/>
  <c r="E29" i="3"/>
  <c r="D29" i="3"/>
  <c r="G19" i="3"/>
  <c r="F19" i="3"/>
  <c r="E19" i="3"/>
  <c r="D19" i="3"/>
  <c r="G12" i="3"/>
  <c r="F12" i="3"/>
  <c r="E12" i="3"/>
  <c r="D12" i="3"/>
  <c r="J28" i="2"/>
  <c r="J29" i="2" s="1"/>
  <c r="I28" i="2"/>
  <c r="H28" i="2"/>
  <c r="G28" i="2"/>
  <c r="F28" i="2"/>
  <c r="E28" i="2"/>
  <c r="D28" i="2"/>
  <c r="C28" i="2"/>
  <c r="B28" i="2"/>
  <c r="F26" i="1"/>
  <c r="E26" i="1"/>
  <c r="D26" i="1"/>
  <c r="F25" i="1"/>
  <c r="G25" i="1" s="1"/>
  <c r="F24" i="1"/>
  <c r="G24" i="1" s="1"/>
  <c r="F23" i="1"/>
  <c r="G23" i="1" s="1"/>
  <c r="G22" i="1"/>
  <c r="F22" i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G15" i="1"/>
  <c r="F15" i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G8" i="1"/>
  <c r="F8" i="1"/>
  <c r="F7" i="1"/>
  <c r="G7" i="1" s="1"/>
  <c r="F6" i="1"/>
  <c r="G6" i="1" s="1"/>
  <c r="F5" i="1"/>
  <c r="G5" i="1" s="1"/>
  <c r="F4" i="1"/>
  <c r="G4" i="1" s="1"/>
  <c r="G82" i="3" l="1"/>
  <c r="G83" i="3" s="1"/>
  <c r="G84" i="3" s="1"/>
  <c r="E82" i="3"/>
  <c r="F28" i="5"/>
  <c r="F31" i="5" s="1"/>
  <c r="E31" i="5"/>
  <c r="E83" i="3"/>
  <c r="E84" i="3" s="1"/>
  <c r="G26" i="1"/>
</calcChain>
</file>

<file path=xl/sharedStrings.xml><?xml version="1.0" encoding="utf-8"?>
<sst xmlns="http://schemas.openxmlformats.org/spreadsheetml/2006/main" count="811" uniqueCount="525">
  <si>
    <t>NeuralQuant — AWS-First Service Substitution Map</t>
  </si>
  <si>
    <t xml:space="preserve">  LEGEND:  Green = AWS native (fully covered by Activate credits)  |  Amber = Hybrid (AWS replaces 3rd-party partially)  |  Red = Eliminated (replaced entirely)  |  White = Retained (no AWS equivalent)</t>
  </si>
  <si>
    <t>Original service</t>
  </si>
  <si>
    <t>AWS native replacement</t>
  </si>
  <si>
    <t>Service type</t>
  </si>
  <si>
    <t>Original $/mo</t>
  </si>
  <si>
    <t>AWS $/mo</t>
  </si>
  <si>
    <t>Monthly saving $</t>
  </si>
  <si>
    <t>18-mo saving $</t>
  </si>
  <si>
    <t>Credit covered?</t>
  </si>
  <si>
    <t>Notes</t>
  </si>
  <si>
    <t>EC2 + RDS + Lambda + S3</t>
  </si>
  <si>
    <t>EC2 + RDS Multi-AZ + Lambda + S3 + ElastiCache</t>
  </si>
  <si>
    <t>Compute/Storage</t>
  </si>
  <si>
    <t>Yes</t>
  </si>
  <si>
    <t>AWS Activate credits absorb full cost M1-12. Multi-AZ RDS now correctly budgeted at db.t3.medium. ElastiCache Redis replaces Upstash.</t>
  </si>
  <si>
    <t>Redis (Upstash — external)</t>
  </si>
  <si>
    <t>AWS ElastiCache (Redis) — cache.t3.micro</t>
  </si>
  <si>
    <t>Cache</t>
  </si>
  <si>
    <t>ElastiCache included in AWS ecosystem. Cheaper than Upstash at low scale. Covered by Activate credits.</t>
  </si>
  <si>
    <t>CDN for chart images (external)</t>
  </si>
  <si>
    <t>AWS CloudFront + S3</t>
  </si>
  <si>
    <t>CDN</t>
  </si>
  <si>
    <t>CloudFront + S3 already in stack. Marginal add-on cost near zero at early volumes. Activate credits cover.</t>
  </si>
  <si>
    <t>Cloudflare Pro (WAF + DDoS) — external</t>
  </si>
  <si>
    <t>AWS WAF + AWS Shield Standard</t>
  </si>
  <si>
    <t>WAF/DDoS</t>
  </si>
  <si>
    <t>AWS WAF: $5 Web ACL + ~10 rules × $1 + requests. Shield Standard: FREE. Replaces Cloudflare Pro entirely. Activate credits cover.</t>
  </si>
  <si>
    <t>Snyk dependency scanning — external</t>
  </si>
  <si>
    <t>Amazon Inspector (EC2 + Lambda + ECR)</t>
  </si>
  <si>
    <t>Vuln scanning</t>
  </si>
  <si>
    <t>Inspector ~$25-45/mo for NQ workload size. Continuous CVE scanning of EC2, Lambda, ECR images. Activate credits cover.</t>
  </si>
  <si>
    <t>Security logging (CloudTrail+CloudWatch) — already AWS</t>
  </si>
  <si>
    <t>AWS CloudTrail + CloudWatch (same)</t>
  </si>
  <si>
    <t>Audit/logging</t>
  </si>
  <si>
    <t>No change — already AWS native. Activate credits cover.</t>
  </si>
  <si>
    <t>AWS Secrets Manager — already AWS</t>
  </si>
  <si>
    <t>AWS Secrets Manager (same)</t>
  </si>
  <si>
    <t>Secrets mgmt</t>
  </si>
  <si>
    <t>VAPT annual (external vendor)</t>
  </si>
  <si>
    <t>Amazon Inspector continuous + AWS Security Hub</t>
  </si>
  <si>
    <t>Continuous VAPT</t>
  </si>
  <si>
    <t>Inspector+Security Hub provide continuous assessment replacing point-in-time annual VAPT. Still budget ₹1L for external pen test at launch.</t>
  </si>
  <si>
    <t>N/A — new</t>
  </si>
  <si>
    <t>Amazon GuardDuty (threat detection)</t>
  </si>
  <si>
    <t>Threat detection</t>
  </si>
  <si>
    <t>ML-based threat detection: crypto-mining, credential abuse, data exfil. ~$80-120/mo for NQ workload. Activate credits cover. SEBI audit trail value.</t>
  </si>
  <si>
    <t>Amazon Macie (PII discovery in S3)</t>
  </si>
  <si>
    <t>Data privacy</t>
  </si>
  <si>
    <t>Scans S3 for PII/financial data. Required for DPDP Act 2023 compliance — auto-detects Aadhaar, PAN, card numbers in S3 buckets.</t>
  </si>
  <si>
    <t>AWS Security Hub (findings aggregation)</t>
  </si>
  <si>
    <t>Security posture</t>
  </si>
  <si>
    <t>Aggregates GuardDuty + Inspector + WAF findings into single compliance dashboard. SOC 2 Type 1 evidence store.</t>
  </si>
  <si>
    <t>Supabase Auth (JWT/OAuth/SAML)</t>
  </si>
  <si>
    <t>Amazon Cognito + Supabase Pro (DB only)</t>
  </si>
  <si>
    <t>Auth + DB</t>
  </si>
  <si>
    <t>No</t>
  </si>
  <si>
    <t>Cognito handles all auth (JWT, OAuth, SAML/SSO). Supabase drops to Pro ($25/mo) for managed Postgres + RLS only. Cognito free tier: 10K MAU free; $0.015/MAU above that.</t>
  </si>
  <si>
    <t>Sentry error monitoring — external</t>
  </si>
  <si>
    <t>AWS CloudWatch + Lambda error alerts</t>
  </si>
  <si>
    <t>Error monitoring</t>
  </si>
  <si>
    <t>CloudWatch Alarms on Lambda error rates, API 5xx, pipeline failures replicates Sentry core use case. Near-zero marginal cost in Activate credits.</t>
  </si>
  <si>
    <t>APM: Datadog/X-Ray — external</t>
  </si>
  <si>
    <t>AWS X-Ray (already AWS native)</t>
  </si>
  <si>
    <t>APM/Tracing</t>
  </si>
  <si>
    <t>X-Ray is native AWS. $0.000005/trace for first 100K traces free. Full PARA-DEBATE agent latency tracing. Activate credits cover.</t>
  </si>
  <si>
    <t>Uptime/StatusPage — external (Betterstack)</t>
  </si>
  <si>
    <t>AWS Route 53 Health Checks + CloudWatch</t>
  </si>
  <si>
    <t>Uptime/Status</t>
  </si>
  <si>
    <t>Route 53 health checks: $0.50/endpoint/mo. CloudWatch dashboard as internal status. Betterstack eliminated.</t>
  </si>
  <si>
    <t>PostHog — external</t>
  </si>
  <si>
    <t>Amazon Pinpoint (analytics + push)</t>
  </si>
  <si>
    <t>Product analytics</t>
  </si>
  <si>
    <t>Pinpoint covers user funnel analytics + event tracking + push notifications. Free tier: 100 MAU free. Activate credits cover. Feature flags: use AWS AppConfig (free).</t>
  </si>
  <si>
    <t>Resend + Brevo — external</t>
  </si>
  <si>
    <t>Amazon SES (Simple Email Service)</t>
  </si>
  <si>
    <t>Email delivery</t>
  </si>
  <si>
    <t>SES: $0.10/1K emails. At 50K emails/mo = $5/mo. Replaces both Resend ($20) and Brevo ($25) entirely. EC2-origin emails: 62K free/mo. Activate credits cover.</t>
  </si>
  <si>
    <t>Razorpay (India) + Stripe (US)</t>
  </si>
  <si>
    <t>No AWS equivalent — retain both</t>
  </si>
  <si>
    <t>Payments</t>
  </si>
  <si>
    <t>AWS does not offer payment processing. Retain Razorpay (2% txn, no fixed fee) + Stripe (2.9% txn). These are COGS lines in the financial model.</t>
  </si>
  <si>
    <t>Freshdesk Growth — external</t>
  </si>
  <si>
    <t>Amazon Connect + Cases (or retain Freshdesk)</t>
  </si>
  <si>
    <t>Support</t>
  </si>
  <si>
    <t>Amazon Connect covers call routing; Cases handles ticketing. At 1 agent Freshdesk ($15) is simpler. Recommend retaining Freshdesk until 3+ support agents.</t>
  </si>
  <si>
    <t>No DR budgeted — gap</t>
  </si>
  <si>
    <t>AWS Backup (automated cross-region)</t>
  </si>
  <si>
    <t>Backup / DR</t>
  </si>
  <si>
    <t>AWS Backup automates RDS snapshots, S3 replication, cross-AZ recovery. Closes the BCP gap. ~$10/mo at NQ data volumes. Activate credits cover.</t>
  </si>
  <si>
    <t>GitHub Team — external</t>
  </si>
  <si>
    <t>AWS CodePipeline + CodeBuild (optional)</t>
  </si>
  <si>
    <t>CI/CD</t>
  </si>
  <si>
    <t>GitHub Team retained for repo hosting. CodePipeline/CodeBuild can supplement for AWS-native deployments. GitHub free tier covers 4 users for private repos.</t>
  </si>
  <si>
    <t>Vercel Pro — external</t>
  </si>
  <si>
    <t>AWS Amplify Hosting (alternative)</t>
  </si>
  <si>
    <t>Frontend hosting</t>
  </si>
  <si>
    <t>Vercel Pro retained — Next.js ISR support is superior on Vercel. AWS Amplify is an option but ISR support less mature. No saving here.</t>
  </si>
  <si>
    <t xml:space="preserve">  Monthly totals</t>
  </si>
  <si>
    <t>NeuralQuant — AWS Activate Credit Utilisation Plan (18 Months)</t>
  </si>
  <si>
    <t xml:space="preserve">  Assumes AWS Activate Portfolio tier: $100,000 credits over 18 months (VC/accelerator backed). Founders tier: $1,000 only — update B6 if applicable.</t>
  </si>
  <si>
    <t xml:space="preserve">  Section A — Credit assumptions (blue = editable inputs)</t>
  </si>
  <si>
    <t>AWS Activate tier</t>
  </si>
  <si>
    <t>Portfolio (VC/accelerator backed)</t>
  </si>
  <si>
    <t>Source: aws.amazon.com/activate</t>
  </si>
  <si>
    <t>Total credits available ($)</t>
  </si>
  <si>
    <t>Source: AWS Activate Portfolio — verified 2026</t>
  </si>
  <si>
    <t>Credit validity (months)</t>
  </si>
  <si>
    <t>18</t>
  </si>
  <si>
    <t>Typical Portfolio credit window</t>
  </si>
  <si>
    <t>Credits per month (average) ($)</t>
  </si>
  <si>
    <t>Derived from above</t>
  </si>
  <si>
    <t>USD/INR rate</t>
  </si>
  <si>
    <t>85</t>
  </si>
  <si>
    <t>Update if rate changes</t>
  </si>
  <si>
    <t xml:space="preserve">  Section B — Month-by-month credit drawdown vs actual AWS spend</t>
  </si>
  <si>
    <t>AWS service</t>
  </si>
  <si>
    <t>M1</t>
  </si>
  <si>
    <t>M2</t>
  </si>
  <si>
    <t>M3</t>
  </si>
  <si>
    <t>M4</t>
  </si>
  <si>
    <t>M5</t>
  </si>
  <si>
    <t>M6</t>
  </si>
  <si>
    <t>M7-9 (avg)</t>
  </si>
  <si>
    <t>M10-18 (avg)</t>
  </si>
  <si>
    <t>18-mo total $</t>
  </si>
  <si>
    <t>EC2 + RDS + Lambda + S3 (base)</t>
  </si>
  <si>
    <t>ElastiCache Redis</t>
  </si>
  <si>
    <t>CloudFront + S3 (CDN)</t>
  </si>
  <si>
    <t>AWS WAF</t>
  </si>
  <si>
    <t>Amazon Inspector</t>
  </si>
  <si>
    <t>CloudTrail + CloudWatch</t>
  </si>
  <si>
    <t>Secrets Manager</t>
  </si>
  <si>
    <t>GuardDuty</t>
  </si>
  <si>
    <t>Amazon Macie</t>
  </si>
  <si>
    <t>AWS Security Hub</t>
  </si>
  <si>
    <t>AWS X-Ray (APM)</t>
  </si>
  <si>
    <t>Route 53 Health Checks</t>
  </si>
  <si>
    <t>Amazon SES (email)</t>
  </si>
  <si>
    <t>Amazon Pinpoint (analytics)</t>
  </si>
  <si>
    <t>Amazon Cognito (auth)</t>
  </si>
  <si>
    <t>AWS Backup</t>
  </si>
  <si>
    <t>AWS Cost Anomaly Detection</t>
  </si>
  <si>
    <t xml:space="preserve">  Total AWS spend per month / 18-mo</t>
  </si>
  <si>
    <t xml:space="preserve">  Credits remaining after 18-month AWS spend</t>
  </si>
  <si>
    <t>NeuralQuant — Revised BOM v3 (AWS-First, Activate Credits Applied)</t>
  </si>
  <si>
    <t xml:space="preserve">  AWS Activate Portfolio ($100K) assumed. All AWS-native services covered by credits. Phase-scaled Claude API. All costing errors from v2 carried forward.</t>
  </si>
  <si>
    <t xml:space="preserve">  Green = covered by AWS credits  |  Amber = phase-scaled / hybrid  |  White = non-AWS, retained  |  Red = risk-flagged</t>
  </si>
  <si>
    <t>Category</t>
  </si>
  <si>
    <t>Component</t>
  </si>
  <si>
    <t>Description / Basis</t>
  </si>
  <si>
    <t>Monthly ₹</t>
  </si>
  <si>
    <t>18-Mo ₹</t>
  </si>
  <si>
    <t>Monthly $</t>
  </si>
  <si>
    <t>18-Mo $</t>
  </si>
  <si>
    <t>AWS service?</t>
  </si>
  <si>
    <t>Status</t>
  </si>
  <si>
    <t xml:space="preserve">  Data &amp; AI Engine</t>
  </si>
  <si>
    <t>Data &amp; AI Engine</t>
  </si>
  <si>
    <t>Anthropic Claude Sonnet 4.6 API</t>
  </si>
  <si>
    <t>Phase-scaled: M1-3 ~₹55K, M4-9 ~₹2.2L, M10-18 ~₹7L/mo. See API Assumptions sheet.</t>
  </si>
  <si>
    <t>credits</t>
  </si>
  <si>
    <t>PHASE</t>
  </si>
  <si>
    <t>Not an AWS service. See API Cost Assumptions sheet for full phase-scaled breakdown. No AWS equivalent for Anthropic API.</t>
  </si>
  <si>
    <t>Alpha Vantage Premium</t>
  </si>
  <si>
    <t>US/global equities fallback. 300 req/min, EOD+intraday. $149/mo. VERIFIED.</t>
  </si>
  <si>
    <t>RETAIN</t>
  </si>
  <si>
    <t>No AWS equivalent for market data.</t>
  </si>
  <si>
    <t>NSE Professional Feed (Cogencis)</t>
  </si>
  <si>
    <t>Real-time L1 quotes, 500+ NSE tickers. Verify NSE redistribution licence separately.</t>
  </si>
  <si>
    <t>Risk</t>
  </si>
  <si>
    <t>⚠ NSE redistribution licence risk — verify in M1.</t>
  </si>
  <si>
    <t>CMIE Economic Outlook</t>
  </si>
  <si>
    <t>India macro data. ₹25K/mo — unverified. Get direct quote in M1. May be ₹35-40K.</t>
  </si>
  <si>
    <t>⚠ Pricing unverified. Budget ₹35K conservatively.</t>
  </si>
  <si>
    <t>FRED API (US macro — replaces ISM)</t>
  </si>
  <si>
    <t>CORRECTED: FRED API (Federal Reserve) free. ISM $44/mo subscription eliminated.</t>
  </si>
  <si>
    <t>Free public API. Saves ₹67,500 vs SOW.</t>
  </si>
  <si>
    <t>SEC EDGAR + RBI public data</t>
  </si>
  <si>
    <t>Free-tier APIs. Parser is a Product Build engineering deliverable.</t>
  </si>
  <si>
    <t>Free.</t>
  </si>
  <si>
    <t xml:space="preserve">  Data &amp; AI Engine — Subtotal</t>
  </si>
  <si>
    <t xml:space="preserve">  AWS Cloud &amp; Infrastructure</t>
  </si>
  <si>
    <t>AWS Cloud &amp; Infrastructure</t>
  </si>
  <si>
    <t>EC2 + RDS Multi-AZ + Lambda + S3</t>
  </si>
  <si>
    <t>FastAPI (t3.medium), RDS Multi-AZ from M6, Lambda async, S3 archives. Covered by Activate credits.</t>
  </si>
  <si>
    <t>AWS</t>
  </si>
  <si>
    <t>AWS Activate covers full 18-mo spend (~$720-1,100/mo). Multi-AZ RDS correctly scoped from M6.</t>
  </si>
  <si>
    <t>AWS ElastiCache (Redis — cache.t3.micro)</t>
  </si>
  <si>
    <t>PARA-DEBATE response cache. Enables 90% Claude API cache hit. Replaces Upstash. Activate credits cover.</t>
  </si>
  <si>
    <t>Replaces external Upstash ₹4,200/mo. Saves ₹75,600 over 18 months.</t>
  </si>
  <si>
    <t>AWS CloudFront + S3 (CDN)</t>
  </si>
  <si>
    <t>Serves dynamically generated score charts + OG images for 1000+ SEO pages. Activate credits cover.</t>
  </si>
  <si>
    <t>Replaces external CDN ₹2,500/mo. Saves ₹45,000 over 18 months.</t>
  </si>
  <si>
    <t>AWS Backup (automated cross-region DR)</t>
  </si>
  <si>
    <t>Automated RDS snapshots, S3 replication. Closes BCP gap. ~$10/mo. Activate credits cover.</t>
  </si>
  <si>
    <t>Gap item — previously missing. RPO/RTO capability for SEBI RA audit readiness.</t>
  </si>
  <si>
    <t>AWS Cost Anomaly Detection + Budgets</t>
  </si>
  <si>
    <t>Prevents runaway Lambda loops. Free service. Budget alerts per service.</t>
  </si>
  <si>
    <t>Free. Configuration effort only.</t>
  </si>
  <si>
    <t xml:space="preserve">  AWS Cloud &amp; Infrastructure — Subtotal</t>
  </si>
  <si>
    <t xml:space="preserve">  AWS Security Suite</t>
  </si>
  <si>
    <t>AWS Security Suite</t>
  </si>
  <si>
    <t>AWS WAF (Web Application Firewall)</t>
  </si>
  <si>
    <t>Replaces Cloudflare Pro. $5 Web ACL + rules + $0.60/M requests. ~$18-30/mo. Activate credits cover.</t>
  </si>
  <si>
    <t>Replaces Cloudflare Pro ₹8,400/mo. Saves ₹1,51,200 over 18 months.</t>
  </si>
  <si>
    <t>AWS Shield Standard</t>
  </si>
  <si>
    <t>DDoS protection. FREE — included with all AWS accounts. No cost.</t>
  </si>
  <si>
    <t>Free. Replaces Cloudflare DDoS protection component.</t>
  </si>
  <si>
    <t>AWS Secrets Manager</t>
  </si>
  <si>
    <t>API keys, DB credentials, Zerodha/Alpaca OAuth tokens. ~$20/mo. Activate credits cover.</t>
  </si>
  <si>
    <t>No change from v2. Activate credits cover.</t>
  </si>
  <si>
    <t>Amazon GuardDuty</t>
  </si>
  <si>
    <t>NEW: ML-based threat detection. Crypto-mining, credential abuse, data exfil. ~$80-120/mo. Credits cover.</t>
  </si>
  <si>
    <t>New gap-fill. SEBI audit trail value. Activate credits cover full 18mo.</t>
  </si>
  <si>
    <t>Replaces Snyk. Continuous CVE scanning of EC2, Lambda, ECR images. ~$25-45/mo. Credits cover.</t>
  </si>
  <si>
    <t>Replaces external Snyk ₹4,200/mo. Saves ₹75,600 over 18 months.</t>
  </si>
  <si>
    <t>NEW: PII discovery in S3. Detects Aadhaar, PAN, card data. DPDP Act 2023 compliance. ~$15/mo.</t>
  </si>
  <si>
    <t>New. Required for DPDP Act 2023 before Indian user PII collection begins.</t>
  </si>
  <si>
    <t>CloudTrail + CloudWatch (audit + logging)</t>
  </si>
  <si>
    <t>API audit trail, anomaly alarms. SOC 2 Type 1 evidence. ~$40-65/mo. Activate credits cover.</t>
  </si>
  <si>
    <t>No change. Activate credits cover.</t>
  </si>
  <si>
    <t>NEW: Aggregates GuardDuty + Inspector + WAF findings. SOC 2 compliance dashboard. ~$25-35/mo.</t>
  </si>
  <si>
    <t>New gap-fill. Centralises all security findings for SEBI inspection readiness.</t>
  </si>
  <si>
    <t xml:space="preserve">  AWS Security Suite — Subtotal</t>
  </si>
  <si>
    <t xml:space="preserve">  AWS Observability</t>
  </si>
  <si>
    <t>AWS Observability</t>
  </si>
  <si>
    <t>AWS X-Ray (APM / distributed tracing)</t>
  </si>
  <si>
    <t>Replaces Datadog/external APM. PARA-DEBATE agent latency, DB query perf. ~$4-10/mo. Credits cover.</t>
  </si>
  <si>
    <t>Replaces external APM ₹5,000/mo. Saves ₹90,000 over 18 months.</t>
  </si>
  <si>
    <t>Route 53 Health Checks + CloudWatch Dashboard</t>
  </si>
  <si>
    <t>Replaces Betterstack/StatusPage. $0.50/endpoint. SLA uptime evidence for brokerage partners.</t>
  </si>
  <si>
    <t>Replaces Betterstack ₹1,700/mo. Saves ₹30,600 over 18 months.</t>
  </si>
  <si>
    <t xml:space="preserve">  AWS Observability — Subtotal</t>
  </si>
  <si>
    <t xml:space="preserve">  AWS App Services</t>
  </si>
  <si>
    <t>AWS App Services</t>
  </si>
  <si>
    <t>Amazon Cognito (auth — M1 onwards)</t>
  </si>
  <si>
    <t>Replaces Supabase auth layer. JWT, OAuth, SAML/SSO. Free tier: 10K MAU. ~$0-35/mo. Credits cover.</t>
  </si>
  <si>
    <t>Replaces Supabase auth component. Supabase retained for Postgres + RLS only.</t>
  </si>
  <si>
    <t>Amazon SES (transactional + bulk email)</t>
  </si>
  <si>
    <t>Replaces Resend + Brevo entirely. $0.10/1K emails. 50K/mo = $5. EC2-origin: 62K free/mo.</t>
  </si>
  <si>
    <t>Replaces Resend ($20) + Brevo ($25) = saves $45/mo = ₹45,900 over 18 months.</t>
  </si>
  <si>
    <t>Amazon Pinpoint (product analytics + push)</t>
  </si>
  <si>
    <t>Replaces PostHog. User funnel, event tracking, feature flags via AppConfig. Free tier generous.</t>
  </si>
  <si>
    <t>Replaces PostHog ₹1,690/mo. Activate credits cover usage above free tier.</t>
  </si>
  <si>
    <t xml:space="preserve">  AWS App Services — Subtotal</t>
  </si>
  <si>
    <t xml:space="preserve">  Retained SaaS</t>
  </si>
  <si>
    <t>Retained SaaS</t>
  </si>
  <si>
    <t>Supabase Pro (DB + RLS only — M1 to M5)</t>
  </si>
  <si>
    <t>Auth offloaded to Cognito. Supabase Pro ($25/mo) retained for managed Postgres + row-level security.</t>
  </si>
  <si>
    <t>CORRECTED: Pro only (not Team). Drops from ₹55K to ₹2.1K/mo M1-5. Team from M6 when brokerage BD needs SOC 2.</t>
  </si>
  <si>
    <t>Supabase Team (DB + RLS — M6 to M18)</t>
  </si>
  <si>
    <t>Upgrades to Team plan from M6 for SOC 2 compliance certs needed by brokerage white-label partners.</t>
  </si>
  <si>
    <t>HYBRID</t>
  </si>
  <si>
    <t>M6-M18 = 13 months × ₹50,915. Required for enterprise/brokerage partner diligence.</t>
  </si>
  <si>
    <t>Vercel Pro (Next.js frontend hosting)</t>
  </si>
  <si>
    <t>Retained — Next.js ISR support superior on Vercel vs AWS Amplify. $20/mo.</t>
  </si>
  <si>
    <t>VERIFIED. No AWS equivalent for Next.js ISR quality.</t>
  </si>
  <si>
    <t>GitHub Team (repo + CI/CD — 4 seats)</t>
  </si>
  <si>
    <t>Retained for repo hosting. $4/user × 4 = $16/mo.</t>
  </si>
  <si>
    <t>VERIFIED. GitHub free tier may cover; Team adds code scanning.</t>
  </si>
  <si>
    <t>Freshdesk Growth (support — 1 agent)</t>
  </si>
  <si>
    <t>Retained at 1 agent. $15/mo. AWS Connect overkill at this scale.</t>
  </si>
  <si>
    <t>VERIFIED. Retain until 3+ support agents.</t>
  </si>
  <si>
    <t>Razorpay (India) — txn fee only, no fixed fee</t>
  </si>
  <si>
    <t>CORRECTED: Zero fixed monthly fee. 2% per txn → COGS line in financial model.</t>
  </si>
  <si>
    <t>2% txn fee is COGS. Not a BOM opex line. Model in financial model margin waterfall.</t>
  </si>
  <si>
    <t>Stripe (US) — txn fee only</t>
  </si>
  <si>
    <t>Zero fixed fee. 2.9% per txn → COGS. No monthly opex.</t>
  </si>
  <si>
    <t>2.9% txn fee is COGS. Not a BOM opex line.</t>
  </si>
  <si>
    <t>Kite Connect partner fee (Zerodha)</t>
  </si>
  <si>
    <t>Zerodha Kite Connect API access. ₹2K/mo ongoing.</t>
  </si>
  <si>
    <t>VERIFIED.</t>
  </si>
  <si>
    <t xml:space="preserve">  Retained SaaS — Subtotal</t>
  </si>
  <si>
    <t xml:space="preserve">  Legal &amp; Compliance</t>
  </si>
  <si>
    <t>Legal &amp; Compliance</t>
  </si>
  <si>
    <t>Singapore HoldCo + India SubCo</t>
  </si>
  <si>
    <t>One-time M1-2. Sg Pte Ltd (IP, revenue) + India Pvt Ltd (engineers, NSE licence).</t>
  </si>
  <si>
    <t>One-time.</t>
  </si>
  <si>
    <t>SEBI Research Analyst Registration</t>
  </si>
  <si>
    <t>One-time M1-2. Mandatory for distributing scores commercially in India.</t>
  </si>
  <si>
    <t>IP Protection — Trademarks</t>
  </si>
  <si>
    <t>NeuralQuant + PARA-DEBATE in Class 36 &amp; 42. India + US. One-time.</t>
  </si>
  <si>
    <t>Terms of Service + Privacy + Disclaimers</t>
  </si>
  <si>
    <t>SEBI-compliant + DPDP Act 2023 privacy policy. One-time.</t>
  </si>
  <si>
    <t>CA Retainer + GST + Cross-border Tax</t>
  </si>
  <si>
    <t>Monthly GST, transfer pricing SG↔IN, annual audit. ₹25K/mo.</t>
  </si>
  <si>
    <t>SEBI RA Ongoing Compliance</t>
  </si>
  <si>
    <t>Half-yearly filings, disclosure updates, inspection readiness. ₹17.5K/mo.</t>
  </si>
  <si>
    <t>Gap item from v2 — retained.</t>
  </si>
  <si>
    <t>DPDP Act 2023 — Macie handles S3; legal setup one-time</t>
  </si>
  <si>
    <t>Macie (AWS) handles S3 PII scanning. Legal + consent flow setup one-time ₹75K.</t>
  </si>
  <si>
    <t>AWS Macie replaces manual DPDP tech work. Legal documentation still required.</t>
  </si>
  <si>
    <t xml:space="preserve">  Legal &amp; Compliance — Subtotal</t>
  </si>
  <si>
    <t xml:space="preserve">  Product Build</t>
  </si>
  <si>
    <t>Product Build</t>
  </si>
  <si>
    <t>EDGAR + Earnings Parser (XBRL/XML)</t>
  </si>
  <si>
    <t>SEC Form 4 + 8-K parser. ~3 weeks senior dev. One-time.</t>
  </si>
  <si>
    <t>One-time engineering.</t>
  </si>
  <si>
    <t>Zerodha Kite + Alpaca Integration</t>
  </si>
  <si>
    <t>One-click trade. OAuth + order placement + position display. ~2 weeks. One-time.</t>
  </si>
  <si>
    <t>SOC 2 Type 1 + Penetration Test</t>
  </si>
  <si>
    <t>India auditor ₹2.5-5L + pen test ₹1-2L. AWS Security Hub provides continuous evidence.</t>
  </si>
  <si>
    <t>AWS Security Hub reduces SOC 2 prep effort but external auditor still required.</t>
  </si>
  <si>
    <t>Programmatic SEO — Build Only</t>
  </si>
  <si>
    <t>1000+ auto-generated stock pages. 1-2 week sprint. CloudFront serves assets.</t>
  </si>
  <si>
    <t>One-time. CloudFront already in AWS stack.</t>
  </si>
  <si>
    <t>Mobile App — React Native</t>
  </si>
  <si>
    <t>iOS + Android. Contract dev 6 weeks. India mobile-first.</t>
  </si>
  <si>
    <t xml:space="preserve">  Product Build — Subtotal</t>
  </si>
  <si>
    <t xml:space="preserve">  Growth &amp; Distribution</t>
  </si>
  <si>
    <t>Growth &amp; Distribution</t>
  </si>
  <si>
    <t>Content + Weekly Alpha Newsletter</t>
  </si>
  <si>
    <t>Substack + LinkedIn. Founder-written M1-6, freelance M7+. SES replaces Brevo for delivery.</t>
  </si>
  <si>
    <t>SES handles email delivery. Content cost unchanged.</t>
  </si>
  <si>
    <t>India Brokerage BD — Travel + Demos</t>
  </si>
  <si>
    <t>Zerodha, Groww, Angel One, Smallcase in-person demos. ₹1L/mo × 6 months.</t>
  </si>
  <si>
    <t>Affiliate Programme</t>
  </si>
  <si>
    <t>Rewardful + commission pool for finance creators, CA firms, trading communities.</t>
  </si>
  <si>
    <t>Product Hunt + YourStory PR</t>
  </si>
  <si>
    <t>One-time global + India launch event.</t>
  </si>
  <si>
    <t>Paid Social + Reddit Ads (M4-M13)</t>
  </si>
  <si>
    <t>r/IndiaInvestments, r/Zerodha, r/quantfinance, LinkedIn. ₹75K/mo × 10 months.</t>
  </si>
  <si>
    <t>Finance Creator Partnerships</t>
  </si>
  <si>
    <t>Finshots, SOIC, CA Rachana Ranade, Zerodha Varsity. ₹60K/mo.</t>
  </si>
  <si>
    <t xml:space="preserve">  Growth &amp; Distribution — Subtotal</t>
  </si>
  <si>
    <t xml:space="preserve">  Team</t>
  </si>
  <si>
    <t>Team</t>
  </si>
  <si>
    <t>Quant ML Engineer</t>
  </si>
  <si>
    <t>5-factor model, HMM, PARA-DEBATE prompt arch, backtesting. Senior India contractor ₹3.5L/mo.</t>
  </si>
  <si>
    <t>Backend Engineer (Python/FastAPI)</t>
  </si>
  <si>
    <t>FastAPI, data pipeline, AWS services integration, PARA-DEBATE asyncio, ElastiCache, WebSocket.</t>
  </si>
  <si>
    <t>AWS migration adds ElastiCache + Cognito integration to scope.</t>
  </si>
  <si>
    <t>Frontend + Mobile Engineer (Next.js/RN)</t>
  </si>
  <si>
    <t>Next.js dashboard, score visualisation, React Native mobile, real-time WebSocket UI.</t>
  </si>
  <si>
    <t>Founder Execution Expenses</t>
  </si>
  <si>
    <t>India travel (SYD↔BOM↔CCU) + execution. Quarterly minimum. Budget is thin at ₹1.25L/mo.</t>
  </si>
  <si>
    <t>⚠ Quarterly SYD↔BOM↔CCU ≈ ₹80-100K/trip. Consider revising to ₹1.75-2L/mo.</t>
  </si>
  <si>
    <t xml:space="preserve">  Team — Subtotal</t>
  </si>
  <si>
    <t xml:space="preserve">  Pre-Buffer Total (numeric lines — AWS credit lines shown as ₹0)</t>
  </si>
  <si>
    <t xml:space="preserve">  Buffer @ 20%</t>
  </si>
  <si>
    <t xml:space="preserve">  TOTAL REVISED RAISE — 18 MONTHS (add phase-scaled Claude API ~₹15-25L separately)</t>
  </si>
  <si>
    <t>NeuralQuant — SOW Changes v2→v3 (AWS-First Migration)</t>
  </si>
  <si>
    <t xml:space="preserve">  Impact of AWS Activate partnership on Statement of Work — scope changes, vendor eliminations, and new AWS-native deliverables</t>
  </si>
  <si>
    <t>SOW section / deliverable</t>
  </si>
  <si>
    <t>v2 approach</t>
  </si>
  <si>
    <t>v3 AWS approach</t>
  </si>
  <si>
    <t>Financial impact</t>
  </si>
  <si>
    <t>Action required</t>
  </si>
  <si>
    <t>Cloud infra — compute, DB, storage</t>
  </si>
  <si>
    <t>AWS EC2+RDS+Lambda+S3 ($590/mo, flat, undercosted at Multi-AZ)</t>
  </si>
  <si>
    <t>Same services, correctly scoped Multi-AZ from M6. Full cost absorbed by Activate credits.</t>
  </si>
  <si>
    <t>~$82K AWS spend covered by credits. Net BOM cost = ₹0 for all AWS infra.</t>
  </si>
  <si>
    <t>Apply for AWS Activate Portfolio. Submit credit request in M1 with investor backing evidence.</t>
  </si>
  <si>
    <t>Cache layer</t>
  </si>
  <si>
    <t>Upstash Redis (external, $50/mo, ₹4,200/mo)</t>
  </si>
  <si>
    <t>AWS ElastiCache Redis (cache.t3.micro, ~$20/mo). Native AWS, covered by credits.</t>
  </si>
  <si>
    <t>Saves ₹75,600 (18mo). Also removes external vendor dependency.</t>
  </si>
  <si>
    <t>Backend engineer provisions ElastiCache in same VPC as RDS. No code change — same Redis API.</t>
  </si>
  <si>
    <t>WAF + DDoS protection</t>
  </si>
  <si>
    <t>Cloudflare Pro (external, $100/mo, ₹8,400/mo)</t>
  </si>
  <si>
    <t>AWS WAF + Shield Standard (free). WAF ~$18-30/mo. Covered by Activate credits.</t>
  </si>
  <si>
    <t>Saves ₹1,51,200 (18mo). Shield Standard is free.</t>
  </si>
  <si>
    <t>Configure AWS WAF Web ACL with managed rule groups (SQLi, XSS, IP reputation). Attach to ALB.</t>
  </si>
  <si>
    <t>Dependency / vulnerability scanning</t>
  </si>
  <si>
    <t>Snyk (external, $50/mo, ₹4,200/mo)</t>
  </si>
  <si>
    <t>Amazon Inspector (continuous EC2+Lambda+ECR scanning, ~$25-45/mo). Credits cover.</t>
  </si>
  <si>
    <t>Saves ₹75,600 (18mo). Continuous vs Snyk point-in-time.</t>
  </si>
  <si>
    <t>Enable Inspector in AWS console. Integrate findings with Security Hub. Zero config for Lambda.</t>
  </si>
  <si>
    <t>Not budgeted — gap</t>
  </si>
  <si>
    <t>Amazon GuardDuty NEW. ML threat detection: crypto-mining, credential theft, exfil. ~$80-120/mo.</t>
  </si>
  <si>
    <t>New cost — fully covered by Activate credits. SEBI audit trail value.</t>
  </si>
  <si>
    <t>Enable GuardDuty in M1. Connect to Security Hub. Set CloudWatch alarm on HIGH severity findings.</t>
  </si>
  <si>
    <t>PII data protection</t>
  </si>
  <si>
    <t>DPDP Act compliance = legal setup only (₹75K one-time)</t>
  </si>
  <si>
    <t>Amazon Macie NEW + legal setup. Macie scans S3 for Aadhaar, PAN, card numbers automatically.</t>
  </si>
  <si>
    <t>Macie ~$15/mo (credits cover). Legal one-time ₹75K retained.</t>
  </si>
  <si>
    <t>Enable Macie on all S3 buckets before user PII collection begins. Satisfies DPDP Act 2023 data mapping requirement.</t>
  </si>
  <si>
    <t>Security findings aggregation</t>
  </si>
  <si>
    <t>Manual — no central dashboard</t>
  </si>
  <si>
    <t>AWS Security Hub NEW. Aggregates WAF + GuardDuty + Inspector findings. SOC 2 evidence.</t>
  </si>
  <si>
    <t>~$25-35/mo covered by credits. Reduces SOC 2 Type 1 prep effort by ~30%.</t>
  </si>
  <si>
    <t>Enable Security Hub with CIS AWS Foundations benchmark. Export findings to S3 for auditor.</t>
  </si>
  <si>
    <t>APM / application performance</t>
  </si>
  <si>
    <t>Datadog lite / external APM (₹5,000/mo)</t>
  </si>
  <si>
    <t>AWS X-Ray (native, ~$4-10/mo). Full PARA-DEBATE agent trace waterfall.</t>
  </si>
  <si>
    <t>Saves ₹90,000 (18mo). X-Ray traces Lambda → FastAPI → RDS chains natively.</t>
  </si>
  <si>
    <t>Add X-Ray SDK to FastAPI. Instrument each PARA-DEBATE agent call. Zero infra change.</t>
  </si>
  <si>
    <t>Uptime / StatusPage</t>
  </si>
  <si>
    <t>Betterstack external (₹1,700/mo)</t>
  </si>
  <si>
    <t>Route 53 Health Checks + CloudWatch dashboard (~$2-4/mo). Credits cover.</t>
  </si>
  <si>
    <t>Saves ₹30,600 (18mo).</t>
  </si>
  <si>
    <t>Create Route 53 health check on API endpoint. Set up CloudWatch dashboard as internal StatusPage.</t>
  </si>
  <si>
    <t>Authentication</t>
  </si>
  <si>
    <t>Supabase Team auth (JWT/OAuth/SAML, $599/mo from M1)</t>
  </si>
  <si>
    <t>Amazon Cognito (JWT/OAuth/SAML/SSO, free &lt;10K MAU). Supabase drops to Pro ($25) DB-only.</t>
  </si>
  <si>
    <t>Saves ~₹2.6L M1-5. Cognito free tier covers NQ user volumes through M9+.</t>
  </si>
  <si>
    <t>Frontend engineer implements Cognito User Pool + Identity Pool. Supabase configured for DB+RLS only.</t>
  </si>
  <si>
    <t>Resend ($20) + Brevo ($25) = $45/mo</t>
  </si>
  <si>
    <t>Amazon SES only. $0.10/1K emails. 50K/mo = $5. Replaces both vendors.</t>
  </si>
  <si>
    <t>Saves ₹45,900 (18mo). Single vendor, higher deliverability on EC2-origin sends.</t>
  </si>
  <si>
    <t>Configure SES domain verification + DKIM. Update transactional email code to use SES SDK.</t>
  </si>
  <si>
    <t>PostHog ($20/mo from M1, overestimated — actually free tier)</t>
  </si>
  <si>
    <t>Amazon Pinpoint (analytics + push) + AppConfig (feature flags). More integrated.</t>
  </si>
  <si>
    <t>Saves ₹20,280 (18mo vs original SOW). Pinpoint free tier generous.</t>
  </si>
  <si>
    <t>Instrument frontend with Pinpoint analytics SDK. AppConfig for feature flags replaces PostHog feature flags.</t>
  </si>
  <si>
    <t>Not budgeted — BCP gap</t>
  </si>
  <si>
    <t>AWS Backup (automated RDS + S3, cross-AZ, ~$10/mo). Covered by credits.</t>
  </si>
  <si>
    <t>New cost — covered by credits. Closes BCP/SEBI audit gap.</t>
  </si>
  <si>
    <t>Enable AWS Backup plan in M1. Define RPO = 1hr, RTO = 4hr for score database.</t>
  </si>
  <si>
    <t>SOC 2 Type 1 evidence</t>
  </si>
  <si>
    <t>Manual evidence collection for auditor</t>
  </si>
  <si>
    <t>AWS Security Hub + CloudTrail + Config provide continuous compliance evidence automatically.</t>
  </si>
  <si>
    <t>Reduces SOC 2 prep time from ~6 weeks to ~3 weeks. Saves ~₹1L in auditor time.</t>
  </si>
  <si>
    <t>Configure AWS Config rules for CIS benchmarks. Security Hub aggregates for auditor package.</t>
  </si>
  <si>
    <t>ISM PMI data</t>
  </si>
  <si>
    <t>ISM subscription $44/mo (product does not exist at this price)</t>
  </si>
  <si>
    <t>FRED API (Federal Reserve) — free, 1-day lag. Adequate for HMM regime model.</t>
  </si>
  <si>
    <t>Saves ₹67,500 (18mo).</t>
  </si>
  <si>
    <t>Backend engineer implements FRED API client. PMI series: ISM_MAN_PMI. No licence required.</t>
  </si>
  <si>
    <t>Razorpay fixed fee</t>
  </si>
  <si>
    <t>₹5,000/mo fixed platform fee (incorrect — not a standard Razorpay charge)</t>
  </si>
  <si>
    <t>Zero fixed fee. 2% per transaction only. Move to COGS in financial model.</t>
  </si>
  <si>
    <t>Saves ₹90,000 (18mo in BOM). 2% txn appears in margin waterfall instead.</t>
  </si>
  <si>
    <t>Update financial model: remove Razorpay from opex, add 2% of Indian subscription revenue to COGS.</t>
  </si>
  <si>
    <t>NeuralQuant — Claude API Cost Model (Phase-Scaled) + Corrected Assumptions</t>
  </si>
  <si>
    <t>Blue text = hardcoded inputs  |  Black text = calculated  |  Amber = corrected vs original SOW</t>
  </si>
  <si>
    <t xml:space="preserve">  Section A — Claude Sonnet 4.6 Pricing Constants (verified May 2026)</t>
  </si>
  <si>
    <t>Parameter</t>
  </si>
  <si>
    <t>Value</t>
  </si>
  <si>
    <t>Unit</t>
  </si>
  <si>
    <t>Source / Notes</t>
  </si>
  <si>
    <t>Input price (fresh)</t>
  </si>
  <si>
    <t>$/MTok</t>
  </si>
  <si>
    <t>Source: Anthropic pricing — Sonnet 4.6, verified Apr 2026</t>
  </si>
  <si>
    <t>Output price</t>
  </si>
  <si>
    <t>Source: Anthropic pricing — Sonnet 4.6</t>
  </si>
  <si>
    <t>Cache read price</t>
  </si>
  <si>
    <t>90% discount on cached input tokens</t>
  </si>
  <si>
    <t>₹/$</t>
  </si>
  <si>
    <t>Approximate rate used throughout BOM</t>
  </si>
  <si>
    <t xml:space="preserve">  Section B — Token Budget per PARA-DEBATE Query (7 agent calls + HEAD ANALYST)</t>
  </si>
  <si>
    <t>Token component</t>
  </si>
  <si>
    <t>Tokens</t>
  </si>
  <si>
    <t>Type</t>
  </si>
  <si>
    <t>Cost/call ($)</t>
  </si>
  <si>
    <t>Agent system prompts (cached)</t>
  </si>
  <si>
    <t>cached_in</t>
  </si>
  <si>
    <t>7 agents × 6,000 tok each</t>
  </si>
  <si>
    <t>Agent user context (fresh)</t>
  </si>
  <si>
    <t>fresh_in</t>
  </si>
  <si>
    <t>7 agents × 1,000 tok each</t>
  </si>
  <si>
    <t>Agent outputs</t>
  </si>
  <si>
    <t>output</t>
  </si>
  <si>
    <t>7 agents × 500 tok each</t>
  </si>
  <si>
    <t>HEAD ANALYST cached context</t>
  </si>
  <si>
    <t>Synthesis system prompt</t>
  </si>
  <si>
    <t>HEAD ANALYST fresh input</t>
  </si>
  <si>
    <t>All 7 agent outputs as input</t>
  </si>
  <si>
    <t>HEAD ANALYST output</t>
  </si>
  <si>
    <t>Composite score + rationale</t>
  </si>
  <si>
    <t xml:space="preserve">  Cost per query (realistic)</t>
  </si>
  <si>
    <t>SOW claimed $0.029 — actual ~$0.068-0.11 depending on cache efficiency</t>
  </si>
  <si>
    <t xml:space="preserve">  Section C — Phase-Scaled Monthly Claude API Cost (corrected)</t>
  </si>
  <si>
    <t>Phase</t>
  </si>
  <si>
    <t>Months</t>
  </si>
  <si>
    <t>Queries/day</t>
  </si>
  <si>
    <t>Days/mo</t>
  </si>
  <si>
    <t>Monthly queries</t>
  </si>
  <si>
    <t>Monthly cost ($)</t>
  </si>
  <si>
    <t>Monthly cost (₹)</t>
  </si>
  <si>
    <t>SOW ₹/mo</t>
  </si>
  <si>
    <t>Delta ₹/mo</t>
  </si>
  <si>
    <t>M1–3</t>
  </si>
  <si>
    <t>Early users / dev</t>
  </si>
  <si>
    <t>M4–9</t>
  </si>
  <si>
    <t>Growth phase</t>
  </si>
  <si>
    <t>M10–18</t>
  </si>
  <si>
    <t>Scale phase</t>
  </si>
  <si>
    <t xml:space="preserve">  18-month total (Claude API)</t>
  </si>
  <si>
    <t>Positive delta = revised EXCEEDS SOW; will need budget adjustment at M4+</t>
  </si>
  <si>
    <t>Claude API Costing</t>
  </si>
  <si>
    <t>Total Queries (18M)</t>
  </si>
  <si>
    <t>Total Cost ($) - 18M</t>
  </si>
  <si>
    <t>Total Cost  (₹) - 18M</t>
  </si>
  <si>
    <t>Supabase (Pro M1-5 → Team M6+)</t>
  </si>
  <si>
    <t>Monthly Cost / $</t>
  </si>
  <si>
    <t>Total 18M-$</t>
  </si>
  <si>
    <t>M1 -&gt; 5</t>
  </si>
  <si>
    <t>M6 -&gt; 18</t>
  </si>
  <si>
    <t>Total</t>
  </si>
  <si>
    <t xml:space="preserve">  Section D — Other Corrected Line Items</t>
  </si>
  <si>
    <t>Line item</t>
  </si>
  <si>
    <t>SOW value</t>
  </si>
  <si>
    <t>Corrected value</t>
  </si>
  <si>
    <t>Saving/Mo ₹</t>
  </si>
  <si>
    <t>18-mo impact ₹</t>
  </si>
  <si>
    <t>Correction rationale</t>
  </si>
  <si>
    <t>ISM PMI subscription</t>
  </si>
  <si>
    <t>₹3,750/mo ($44/mo)</t>
  </si>
  <si>
    <t>₹0 — use FRED API (free, 1-day lag)</t>
  </si>
  <si>
    <t>ISM has no $44/mo API product. FRED (Federal Reserve) provides PMI with 1-day lag free. Adequate for HMM regime model which doesn't require real-time PMI.</t>
  </si>
  <si>
    <t>Razorpay platform fee</t>
  </si>
  <si>
    <t>₹5,000/mo fixed</t>
  </si>
  <si>
    <t>₹0 fixed (2% txn fee → COGS only)</t>
  </si>
  <si>
    <t>Standard Razorpay: zero fixed fee, 2% per txn only. ₹5K/mo = Razorpay X banking suite, unnecessary at launch. 2% txn fee must move to financial model COGS line.</t>
  </si>
  <si>
    <t>PostHog product analytics</t>
  </si>
  <si>
    <t>₹1,690/mo ($20/mo)</t>
  </si>
  <si>
    <t>₹0 through M12 (free tier = 1M events/mo)</t>
  </si>
  <si>
    <t>PostHog free tier covers 1M events/month. NeuralQuant won't exceed this before M12 at projected user volumes. Budget from M13 onward if needed.</t>
  </si>
  <si>
    <t>Supabase Team (M1–5)</t>
  </si>
  <si>
    <t>₹55,000/mo from M1</t>
  </si>
  <si>
    <t>₹2,125/mo (Pro) M1-5, Team from M6</t>
  </si>
  <si>
    <t>Supabase Pro ($25/mo) adequate for early-stage. Team ($599/mo) justified only when brokerage partners require SOC 2 compliance evidence — likely M6 BD demos. Saves ~₹2.6L in early months.</t>
  </si>
  <si>
    <t xml:space="preserve">  Total savings from corrections (18-mo)</t>
  </si>
  <si>
    <t>Savings partially offset the Claude API overage at scale</t>
  </si>
  <si>
    <t>18M</t>
  </si>
  <si>
    <t>Cost Head</t>
  </si>
  <si>
    <t>AWS Activate savings vs v2 BOM (approx): Cloudflare ₹1.5L + Snyk ₹0.76L + APM ₹0.9L + StatusPage ₹0.31L + SES replaces Resend+Brevo ₹0.46L + Pinpoint replaces PostHog ₹0.2L + ElastiCache ₹0.76L + CloudFront ₹0.45L = ~₹5.3L direct savings, PLUS ~$82K in AWS compute/security/infra covered by Activate credits</t>
  </si>
  <si>
    <t>AWS Credit Utilisation'!A28</t>
  </si>
  <si>
    <t xml:space="preserve">Total of above Table </t>
  </si>
  <si>
    <t>Grand Total</t>
  </si>
  <si>
    <t>₹ 18Months</t>
  </si>
  <si>
    <t xml:space="preserve">$ 18Months </t>
  </si>
  <si>
    <t>Buffer 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</si>
</sst>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\$#,##0;&quot;($&quot;#,##0\);\-"/>
    <numFmt numFmtId="165" formatCode="\$#,##0"/>
    <numFmt numFmtId="166" formatCode="\$#,##0.00000"/>
    <numFmt numFmtId="167" formatCode="_ * #,##0_ ;_ * \-#,##0_ ;_ * &quot;-&quot;??_ ;_ @_ "/>
  </numFmts>
  <fonts count="6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rgb="FFFFFFFF"/>
      <name val="Arial"/>
      <charset val="1"/>
    </font>
    <font>
      <i/>
      <sz val="8"/>
      <color rgb="FFB0C4DE"/>
      <name val="Arial"/>
      <charset val="1"/>
    </font>
    <font>
      <b/>
      <sz val="9"/>
      <color rgb="FFFFFFFF"/>
      <name val="Arial"/>
      <charset val="1"/>
    </font>
    <font>
      <sz val="9"/>
      <color rgb="FF085041"/>
      <name val="Arial"/>
      <charset val="1"/>
    </font>
    <font>
      <b/>
      <sz val="9"/>
      <color rgb="FF085041"/>
      <name val="Arial"/>
      <charset val="1"/>
    </font>
    <font>
      <sz val="9"/>
      <color rgb="FF92400E"/>
      <name val="Arial"/>
      <charset val="1"/>
    </font>
    <font>
      <b/>
      <sz val="9"/>
      <color rgb="FF92400E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000000"/>
      <name val="Arial"/>
      <charset val="1"/>
    </font>
    <font>
      <b/>
      <sz val="9"/>
      <color rgb="FF1B3A5C"/>
      <name val="Arial"/>
      <charset val="1"/>
    </font>
    <font>
      <b/>
      <sz val="10"/>
      <color rgb="FFFFFFFF"/>
      <name val="Arial"/>
      <charset val="1"/>
    </font>
    <font>
      <sz val="9"/>
      <color rgb="FF0000FF"/>
      <name val="Arial"/>
      <charset val="1"/>
    </font>
    <font>
      <i/>
      <sz val="9"/>
      <color rgb="FF4B5563"/>
      <name val="Arial"/>
      <charset val="1"/>
    </font>
    <font>
      <b/>
      <sz val="8"/>
      <color rgb="FFFFFFFF"/>
      <name val="Arial"/>
      <charset val="1"/>
    </font>
    <font>
      <sz val="9"/>
      <color rgb="FF991B1B"/>
      <name val="Arial"/>
      <charset val="1"/>
    </font>
    <font>
      <sz val="11"/>
      <color theme="1"/>
      <name val="Calibri"/>
      <family val="2"/>
      <charset val="1"/>
    </font>
    <font>
      <b/>
      <sz val="9"/>
      <color theme="1"/>
      <name val="Arial"/>
      <family val="2"/>
    </font>
    <font>
      <b/>
      <sz val="8"/>
      <color rgb="FFFFFFFF"/>
      <name val="Arial"/>
      <family val="2"/>
    </font>
    <font>
      <i/>
      <sz val="8"/>
      <color rgb="FF085041"/>
      <name val="Arial"/>
      <family val="2"/>
    </font>
    <font>
      <i/>
      <sz val="8"/>
      <color rgb="FF92400E"/>
      <name val="Arial"/>
      <family val="2"/>
    </font>
    <font>
      <i/>
      <sz val="8"/>
      <color rgb="FF000000"/>
      <name val="Arial"/>
      <family val="2"/>
    </font>
    <font>
      <sz val="8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8"/>
      <color rgb="FFB0C4DE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i/>
      <sz val="9"/>
      <color rgb="FF4B5563"/>
      <name val="Arial"/>
      <family val="2"/>
    </font>
    <font>
      <sz val="9"/>
      <color rgb="FF4B5563"/>
      <name val="Arial"/>
      <family val="2"/>
    </font>
    <font>
      <b/>
      <sz val="9"/>
      <color rgb="FF1B3A5C"/>
      <name val="Arial"/>
      <family val="2"/>
    </font>
    <font>
      <b/>
      <i/>
      <sz val="7"/>
      <color rgb="FF991B1B"/>
      <name val="Arial"/>
      <family val="2"/>
    </font>
    <font>
      <sz val="9"/>
      <color rgb="FF92400E"/>
      <name val="Arial"/>
      <family val="2"/>
    </font>
    <font>
      <b/>
      <sz val="9"/>
      <color rgb="FF991B1B"/>
      <name val="Arial"/>
      <family val="2"/>
    </font>
    <font>
      <i/>
      <sz val="8"/>
      <color rgb="FF991B1B"/>
      <name val="Arial"/>
      <family val="2"/>
    </font>
    <font>
      <b/>
      <sz val="8"/>
      <color rgb="FFFFFFFF"/>
      <name val="Calibri"/>
      <family val="2"/>
      <scheme val="minor"/>
    </font>
    <font>
      <sz val="9"/>
      <color rgb="FF92400E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1B3A5C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166534"/>
      <name val="Arial"/>
      <family val="2"/>
    </font>
    <font>
      <sz val="9"/>
      <color rgb="FF991B1B"/>
      <name val="Arial"/>
      <family val="2"/>
    </font>
    <font>
      <b/>
      <sz val="9"/>
      <color rgb="FF166534"/>
      <name val="Arial"/>
      <family val="2"/>
    </font>
    <font>
      <i/>
      <sz val="9"/>
      <color rgb="FF166534"/>
      <name val="Arial"/>
      <family val="2"/>
    </font>
    <font>
      <sz val="10"/>
      <color theme="1"/>
      <name val="Calibri"/>
      <family val="2"/>
      <charset val="1"/>
    </font>
    <font>
      <i/>
      <sz val="10"/>
      <color rgb="FFB0C4DE"/>
      <name val="Arial"/>
      <family val="2"/>
    </font>
    <font>
      <sz val="10"/>
      <color rgb="FF1B3A5C"/>
      <name val="Arial"/>
      <family val="2"/>
    </font>
    <font>
      <sz val="10"/>
      <color rgb="FF92400E"/>
      <name val="Arial"/>
      <family val="2"/>
    </font>
    <font>
      <i/>
      <sz val="10"/>
      <color rgb="FF085041"/>
      <name val="Arial"/>
      <family val="2"/>
    </font>
    <font>
      <b/>
      <sz val="10"/>
      <color rgb="FF92400E"/>
      <name val="Arial"/>
      <family val="2"/>
    </font>
    <font>
      <i/>
      <sz val="10"/>
      <color rgb="FF92400E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991B1B"/>
      <name val="Arial"/>
      <family val="2"/>
    </font>
    <font>
      <b/>
      <sz val="10"/>
      <color rgb="FF991B1B"/>
      <name val="Arial"/>
      <family val="2"/>
    </font>
    <font>
      <i/>
      <sz val="10"/>
      <color rgb="FF991B1B"/>
      <name val="Arial"/>
      <family val="2"/>
    </font>
    <font>
      <b/>
      <sz val="10"/>
      <color rgb="FF1B3A5C"/>
      <name val="Arial"/>
      <family val="2"/>
    </font>
    <font>
      <sz val="10"/>
      <color rgb="FF085041"/>
      <name val="Arial"/>
      <family val="2"/>
    </font>
    <font>
      <b/>
      <sz val="10"/>
      <color rgb="FF085041"/>
      <name val="Arial"/>
      <family val="2"/>
    </font>
    <font>
      <b/>
      <sz val="10"/>
      <color rgb="FFFFD700"/>
      <name val="Arial"/>
      <family val="2"/>
    </font>
    <font>
      <b/>
      <sz val="10"/>
      <color theme="1"/>
      <name val="Calibri"/>
      <family val="2"/>
    </font>
    <font>
      <b/>
      <sz val="10"/>
      <color rgb="FF0070C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232F3E"/>
        <bgColor rgb="FF1B3A5C"/>
      </patternFill>
    </fill>
    <fill>
      <patternFill patternType="solid">
        <fgColor rgb="FF0D1B2A"/>
        <bgColor rgb="FF232F3E"/>
      </patternFill>
    </fill>
    <fill>
      <patternFill patternType="solid">
        <fgColor rgb="FF1B3A5C"/>
        <bgColor rgb="FF1E3A5F"/>
      </patternFill>
    </fill>
    <fill>
      <patternFill patternType="solid">
        <fgColor rgb="FFE1F5EE"/>
        <bgColor rgb="FFF0F4FA"/>
      </patternFill>
    </fill>
    <fill>
      <patternFill patternType="solid">
        <fgColor rgb="FFFEF3C7"/>
        <bgColor rgb="FFFEE2E2"/>
      </patternFill>
    </fill>
    <fill>
      <patternFill patternType="solid">
        <fgColor rgb="FFFFFFFF"/>
        <bgColor rgb="FFEFF6FF"/>
      </patternFill>
    </fill>
    <fill>
      <patternFill patternType="solid">
        <fgColor rgb="FFF0F4FA"/>
        <bgColor rgb="FFEFF6FF"/>
      </patternFill>
    </fill>
    <fill>
      <patternFill patternType="solid">
        <fgColor rgb="FFE2E8F0"/>
        <bgColor rgb="FFE1F5EE"/>
      </patternFill>
    </fill>
    <fill>
      <patternFill patternType="solid">
        <fgColor rgb="FF2563EB"/>
        <bgColor rgb="FF0066CC"/>
      </patternFill>
    </fill>
    <fill>
      <patternFill patternType="solid">
        <fgColor rgb="FFEFF6FF"/>
        <bgColor rgb="FFF0F4FA"/>
      </patternFill>
    </fill>
    <fill>
      <patternFill patternType="solid">
        <fgColor rgb="FFFEE2E2"/>
        <bgColor rgb="FFFEF3C7"/>
      </patternFill>
    </fill>
    <fill>
      <patternFill patternType="solid">
        <fgColor rgb="FFFF9900"/>
        <bgColor rgb="FFFF6600"/>
      </patternFill>
    </fill>
    <fill>
      <patternFill patternType="solid">
        <fgColor rgb="FF1E3A5F"/>
        <bgColor rgb="FF1B3A5C"/>
      </patternFill>
    </fill>
    <fill>
      <patternFill patternType="solid">
        <fgColor rgb="FFFFFF00"/>
        <bgColor rgb="FF1E3A5F"/>
      </patternFill>
    </fill>
    <fill>
      <patternFill patternType="solid">
        <fgColor rgb="FF0D1B2A"/>
        <bgColor rgb="FF000000"/>
      </patternFill>
    </fill>
    <fill>
      <patternFill patternType="solid">
        <fgColor rgb="FFFFFFFF"/>
        <bgColor rgb="FFF0FDF4"/>
      </patternFill>
    </fill>
    <fill>
      <patternFill patternType="solid">
        <fgColor rgb="FFE2E8F0"/>
        <bgColor rgb="FFF0F4FA"/>
      </patternFill>
    </fill>
    <fill>
      <patternFill patternType="solid">
        <fgColor rgb="FFF0FDF4"/>
        <bgColor rgb="FFEFF6FF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75">
    <xf numFmtId="0" fontId="0" fillId="0" borderId="0" xfId="0"/>
    <xf numFmtId="0" fontId="13" fillId="4" borderId="0" xfId="0" applyFont="1" applyFill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right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164" fontId="7" fillId="6" borderId="1" xfId="0" applyNumberFormat="1" applyFont="1" applyFill="1" applyBorder="1" applyAlignment="1">
      <alignment horizontal="right" vertical="center" wrapText="1"/>
    </xf>
    <xf numFmtId="164" fontId="8" fillId="6" borderId="1" xfId="0" applyNumberFormat="1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164" fontId="9" fillId="7" borderId="1" xfId="0" applyNumberFormat="1" applyFont="1" applyFill="1" applyBorder="1" applyAlignment="1">
      <alignment horizontal="right" vertical="center" wrapText="1"/>
    </xf>
    <xf numFmtId="164" fontId="10" fillId="7" borderId="1" xfId="0" applyNumberFormat="1" applyFont="1" applyFill="1" applyBorder="1" applyAlignment="1">
      <alignment horizontal="righ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164" fontId="9" fillId="8" borderId="1" xfId="0" applyNumberFormat="1" applyFont="1" applyFill="1" applyBorder="1" applyAlignment="1">
      <alignment horizontal="right" vertical="center" wrapText="1"/>
    </xf>
    <xf numFmtId="164" fontId="10" fillId="8" borderId="1" xfId="0" applyNumberFormat="1" applyFont="1" applyFill="1" applyBorder="1" applyAlignment="1">
      <alignment horizontal="righ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164" fontId="12" fillId="9" borderId="1" xfId="0" applyNumberFormat="1" applyFont="1" applyFill="1" applyBorder="1" applyAlignment="1">
      <alignment horizontal="right" vertical="center" wrapText="1"/>
    </xf>
    <xf numFmtId="0" fontId="0" fillId="9" borderId="1" xfId="0" applyFill="1" applyBorder="1"/>
    <xf numFmtId="0" fontId="14" fillId="8" borderId="1" xfId="0" applyFont="1" applyFill="1" applyBorder="1" applyAlignment="1">
      <alignment horizontal="righ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165" fontId="14" fillId="7" borderId="1" xfId="0" applyNumberFormat="1" applyFont="1" applyFill="1" applyBorder="1" applyAlignment="1">
      <alignment horizontal="righ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3" fontId="14" fillId="8" borderId="1" xfId="0" applyNumberFormat="1" applyFont="1" applyFill="1" applyBorder="1" applyAlignment="1">
      <alignment horizontal="right" vertical="center" wrapText="1"/>
    </xf>
    <xf numFmtId="165" fontId="9" fillId="7" borderId="1" xfId="0" applyNumberFormat="1" applyFont="1" applyFill="1" applyBorder="1" applyAlignment="1">
      <alignment horizontal="right" vertical="center" wrapText="1"/>
    </xf>
    <xf numFmtId="0" fontId="16" fillId="10" borderId="1" xfId="0" applyFont="1" applyFill="1" applyBorder="1" applyAlignment="1">
      <alignment horizontal="center" vertical="center" wrapText="1"/>
    </xf>
    <xf numFmtId="164" fontId="14" fillId="8" borderId="1" xfId="0" applyNumberFormat="1" applyFont="1" applyFill="1" applyBorder="1" applyAlignment="1">
      <alignment horizontal="right" vertical="center" wrapText="1"/>
    </xf>
    <xf numFmtId="164" fontId="14" fillId="7" borderId="1" xfId="0" applyNumberFormat="1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right" vertical="center"/>
    </xf>
    <xf numFmtId="0" fontId="17" fillId="12" borderId="1" xfId="0" applyFont="1" applyFill="1" applyBorder="1" applyAlignment="1">
      <alignment horizontal="left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4" fillId="9" borderId="1" xfId="0" applyFont="1" applyFill="1" applyBorder="1"/>
    <xf numFmtId="0" fontId="24" fillId="0" borderId="0" xfId="0" applyFont="1"/>
    <xf numFmtId="0" fontId="25" fillId="16" borderId="0" xfId="0" applyFont="1" applyFill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left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left" vertical="center" wrapText="1"/>
    </xf>
    <xf numFmtId="0" fontId="30" fillId="8" borderId="1" xfId="0" applyFont="1" applyFill="1" applyBorder="1" applyAlignment="1">
      <alignment horizontal="right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left" vertical="center" wrapText="1"/>
    </xf>
    <xf numFmtId="0" fontId="29" fillId="17" borderId="1" xfId="0" applyFont="1" applyFill="1" applyBorder="1" applyAlignment="1">
      <alignment horizontal="left" vertical="center" wrapText="1"/>
    </xf>
    <xf numFmtId="0" fontId="30" fillId="17" borderId="1" xfId="0" applyFont="1" applyFill="1" applyBorder="1" applyAlignment="1">
      <alignment horizontal="right" vertical="center" wrapText="1"/>
    </xf>
    <xf numFmtId="0" fontId="29" fillId="17" borderId="1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31" fillId="17" borderId="1" xfId="0" applyFont="1" applyFill="1" applyBorder="1" applyAlignment="1">
      <alignment horizontal="left" vertical="center" wrapText="1"/>
    </xf>
    <xf numFmtId="3" fontId="30" fillId="8" borderId="1" xfId="0" applyNumberFormat="1" applyFont="1" applyFill="1" applyBorder="1" applyAlignment="1">
      <alignment horizontal="right" vertical="center" wrapText="1"/>
    </xf>
    <xf numFmtId="0" fontId="32" fillId="8" borderId="1" xfId="0" applyFont="1" applyFill="1" applyBorder="1" applyAlignment="1">
      <alignment horizontal="center" vertical="center" wrapText="1"/>
    </xf>
    <xf numFmtId="166" fontId="29" fillId="8" borderId="1" xfId="0" applyNumberFormat="1" applyFont="1" applyFill="1" applyBorder="1" applyAlignment="1">
      <alignment horizontal="right" vertical="center" wrapText="1"/>
    </xf>
    <xf numFmtId="3" fontId="30" fillId="17" borderId="1" xfId="0" applyNumberFormat="1" applyFont="1" applyFill="1" applyBorder="1" applyAlignment="1">
      <alignment horizontal="right" vertical="center" wrapText="1"/>
    </xf>
    <xf numFmtId="0" fontId="32" fillId="17" borderId="1" xfId="0" applyFont="1" applyFill="1" applyBorder="1" applyAlignment="1">
      <alignment horizontal="center" vertical="center" wrapText="1"/>
    </xf>
    <xf numFmtId="166" fontId="29" fillId="17" borderId="1" xfId="0" applyNumberFormat="1" applyFont="1" applyFill="1" applyBorder="1" applyAlignment="1">
      <alignment horizontal="right" vertical="center" wrapText="1"/>
    </xf>
    <xf numFmtId="0" fontId="33" fillId="18" borderId="2" xfId="0" applyFont="1" applyFill="1" applyBorder="1" applyAlignment="1">
      <alignment horizontal="left" vertical="center" wrapText="1"/>
    </xf>
    <xf numFmtId="166" fontId="33" fillId="18" borderId="1" xfId="0" applyNumberFormat="1" applyFont="1" applyFill="1" applyBorder="1" applyAlignment="1">
      <alignment horizontal="right" vertical="center" wrapText="1"/>
    </xf>
    <xf numFmtId="0" fontId="0" fillId="18" borderId="1" xfId="0" applyFill="1" applyBorder="1"/>
    <xf numFmtId="0" fontId="34" fillId="12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left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right" vertical="center" wrapText="1"/>
    </xf>
    <xf numFmtId="0" fontId="35" fillId="6" borderId="1" xfId="0" applyFont="1" applyFill="1" applyBorder="1" applyAlignment="1">
      <alignment horizontal="right" vertical="center" wrapText="1"/>
    </xf>
    <xf numFmtId="3" fontId="29" fillId="6" borderId="1" xfId="0" applyNumberFormat="1" applyFont="1" applyFill="1" applyBorder="1" applyAlignment="1">
      <alignment horizontal="right" vertical="center" wrapText="1"/>
    </xf>
    <xf numFmtId="164" fontId="29" fillId="6" borderId="1" xfId="0" applyNumberFormat="1" applyFont="1" applyFill="1" applyBorder="1" applyAlignment="1">
      <alignment horizontal="right" vertical="center" wrapText="1"/>
    </xf>
    <xf numFmtId="0" fontId="29" fillId="6" borderId="1" xfId="0" applyFont="1" applyFill="1" applyBorder="1" applyAlignment="1">
      <alignment horizontal="right" vertical="center" wrapText="1"/>
    </xf>
    <xf numFmtId="0" fontId="36" fillId="6" borderId="1" xfId="0" applyFont="1" applyFill="1" applyBorder="1" applyAlignment="1">
      <alignment horizontal="right" vertical="center" wrapText="1"/>
    </xf>
    <xf numFmtId="0" fontId="33" fillId="18" borderId="1" xfId="0" applyFont="1" applyFill="1" applyBorder="1" applyAlignment="1">
      <alignment horizontal="left" vertical="center" wrapText="1"/>
    </xf>
    <xf numFmtId="167" fontId="33" fillId="18" borderId="1" xfId="1" applyNumberFormat="1" applyFont="1" applyFill="1" applyBorder="1" applyAlignment="1">
      <alignment horizontal="right" vertical="center" wrapText="1"/>
    </xf>
    <xf numFmtId="0" fontId="32" fillId="18" borderId="1" xfId="0" applyFont="1" applyFill="1" applyBorder="1" applyAlignment="1">
      <alignment horizontal="right" vertical="center" wrapText="1"/>
    </xf>
    <xf numFmtId="0" fontId="36" fillId="12" borderId="1" xfId="0" applyFont="1" applyFill="1" applyBorder="1" applyAlignment="1">
      <alignment horizontal="right" vertical="center" wrapText="1"/>
    </xf>
    <xf numFmtId="0" fontId="37" fillId="12" borderId="1" xfId="0" applyFont="1" applyFill="1" applyBorder="1" applyAlignment="1">
      <alignment horizontal="left" vertical="center" wrapText="1"/>
    </xf>
    <xf numFmtId="0" fontId="35" fillId="6" borderId="0" xfId="0" applyFont="1" applyFill="1" applyAlignment="1">
      <alignment horizontal="left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left" vertical="center" wrapText="1"/>
    </xf>
    <xf numFmtId="0" fontId="39" fillId="6" borderId="1" xfId="0" applyFont="1" applyFill="1" applyBorder="1" applyAlignment="1">
      <alignment horizontal="center" vertical="center" wrapText="1"/>
    </xf>
    <xf numFmtId="3" fontId="40" fillId="6" borderId="1" xfId="0" applyNumberFormat="1" applyFont="1" applyFill="1" applyBorder="1" applyAlignment="1">
      <alignment horizontal="right" vertical="center" wrapText="1"/>
    </xf>
    <xf numFmtId="0" fontId="41" fillId="18" borderId="1" xfId="0" applyFont="1" applyFill="1" applyBorder="1" applyAlignment="1">
      <alignment horizontal="left" vertical="center" wrapText="1"/>
    </xf>
    <xf numFmtId="0" fontId="1" fillId="18" borderId="1" xfId="0" applyFont="1" applyFill="1" applyBorder="1"/>
    <xf numFmtId="3" fontId="42" fillId="18" borderId="1" xfId="0" applyNumberFormat="1" applyFont="1" applyFill="1" applyBorder="1"/>
    <xf numFmtId="3" fontId="43" fillId="18" borderId="1" xfId="0" applyNumberFormat="1" applyFont="1" applyFill="1" applyBorder="1"/>
    <xf numFmtId="0" fontId="41" fillId="0" borderId="0" xfId="0" applyFont="1" applyAlignment="1">
      <alignment horizontal="left" vertical="center" wrapText="1"/>
    </xf>
    <xf numFmtId="0" fontId="1" fillId="0" borderId="0" xfId="0" applyFont="1"/>
    <xf numFmtId="3" fontId="42" fillId="0" borderId="0" xfId="0" applyNumberFormat="1" applyFont="1"/>
    <xf numFmtId="3" fontId="43" fillId="0" borderId="0" xfId="0" applyNumberFormat="1" applyFont="1"/>
    <xf numFmtId="167" fontId="39" fillId="6" borderId="1" xfId="1" applyNumberFormat="1" applyFont="1" applyFill="1" applyBorder="1" applyAlignment="1">
      <alignment horizontal="center" vertical="center" wrapText="1"/>
    </xf>
    <xf numFmtId="0" fontId="42" fillId="18" borderId="1" xfId="0" applyFont="1" applyFill="1" applyBorder="1" applyAlignment="1">
      <alignment horizontal="center" vertical="center"/>
    </xf>
    <xf numFmtId="167" fontId="43" fillId="18" borderId="1" xfId="1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center" vertical="center" wrapText="1"/>
    </xf>
    <xf numFmtId="0" fontId="44" fillId="19" borderId="1" xfId="0" applyFont="1" applyFill="1" applyBorder="1" applyAlignment="1">
      <alignment horizontal="left" vertical="center" wrapText="1"/>
    </xf>
    <xf numFmtId="0" fontId="45" fillId="19" borderId="1" xfId="0" applyFont="1" applyFill="1" applyBorder="1" applyAlignment="1">
      <alignment horizontal="left" vertical="center" wrapText="1"/>
    </xf>
    <xf numFmtId="0" fontId="46" fillId="19" borderId="1" xfId="0" applyFont="1" applyFill="1" applyBorder="1" applyAlignment="1">
      <alignment horizontal="left" vertical="center" wrapText="1"/>
    </xf>
    <xf numFmtId="0" fontId="44" fillId="19" borderId="1" xfId="0" applyFont="1" applyFill="1" applyBorder="1" applyAlignment="1">
      <alignment horizontal="right" vertical="center" wrapText="1"/>
    </xf>
    <xf numFmtId="0" fontId="46" fillId="19" borderId="1" xfId="0" applyFont="1" applyFill="1" applyBorder="1" applyAlignment="1">
      <alignment horizontal="right" vertical="center" wrapText="1"/>
    </xf>
    <xf numFmtId="0" fontId="47" fillId="19" borderId="1" xfId="0" applyFont="1" applyFill="1" applyBorder="1" applyAlignment="1">
      <alignment horizontal="left" vertical="center" wrapText="1"/>
    </xf>
    <xf numFmtId="0" fontId="33" fillId="18" borderId="1" xfId="0" applyFont="1" applyFill="1" applyBorder="1" applyAlignment="1">
      <alignment horizontal="right" vertical="center" wrapText="1"/>
    </xf>
    <xf numFmtId="0" fontId="31" fillId="18" borderId="1" xfId="0" applyFont="1" applyFill="1" applyBorder="1" applyAlignment="1">
      <alignment horizontal="left" vertical="center" wrapText="1"/>
    </xf>
    <xf numFmtId="1" fontId="0" fillId="0" borderId="0" xfId="0" applyNumberFormat="1"/>
    <xf numFmtId="0" fontId="48" fillId="0" borderId="0" xfId="0" applyFont="1"/>
    <xf numFmtId="3" fontId="48" fillId="0" borderId="0" xfId="0" applyNumberFormat="1" applyFont="1"/>
    <xf numFmtId="0" fontId="27" fillId="2" borderId="0" xfId="0" applyFont="1" applyFill="1" applyAlignment="1">
      <alignment horizontal="center" vertical="center"/>
    </xf>
    <xf numFmtId="0" fontId="49" fillId="3" borderId="0" xfId="0" applyFont="1" applyFill="1" applyAlignment="1">
      <alignment horizontal="left" vertical="center" wrapText="1"/>
    </xf>
    <xf numFmtId="0" fontId="50" fillId="11" borderId="0" xfId="0" applyFont="1" applyFill="1" applyAlignment="1">
      <alignment horizontal="left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10" borderId="2" xfId="0" applyFont="1" applyFill="1" applyBorder="1" applyAlignment="1">
      <alignment horizontal="left" vertical="center" wrapText="1"/>
    </xf>
    <xf numFmtId="0" fontId="51" fillId="6" borderId="1" xfId="0" applyFont="1" applyFill="1" applyBorder="1" applyAlignment="1">
      <alignment horizontal="left" vertical="center" wrapText="1"/>
    </xf>
    <xf numFmtId="0" fontId="52" fillId="6" borderId="1" xfId="0" applyFont="1" applyFill="1" applyBorder="1" applyAlignment="1">
      <alignment horizontal="center" vertical="center" wrapText="1"/>
    </xf>
    <xf numFmtId="164" fontId="52" fillId="6" borderId="1" xfId="0" applyNumberFormat="1" applyFont="1" applyFill="1" applyBorder="1" applyAlignment="1">
      <alignment horizontal="center" vertical="center" wrapText="1"/>
    </xf>
    <xf numFmtId="0" fontId="51" fillId="6" borderId="1" xfId="0" applyFont="1" applyFill="1" applyBorder="1" applyAlignment="1">
      <alignment horizontal="center" vertical="center" wrapText="1"/>
    </xf>
    <xf numFmtId="0" fontId="53" fillId="6" borderId="1" xfId="0" applyFont="1" applyFill="1" applyBorder="1" applyAlignment="1">
      <alignment horizontal="center" vertical="center" wrapText="1"/>
    </xf>
    <xf numFmtId="0" fontId="54" fillId="6" borderId="1" xfId="0" applyFont="1" applyFill="1" applyBorder="1" applyAlignment="1">
      <alignment horizontal="left" vertical="center" wrapText="1"/>
    </xf>
    <xf numFmtId="0" fontId="55" fillId="7" borderId="1" xfId="0" applyFont="1" applyFill="1" applyBorder="1" applyAlignment="1">
      <alignment horizontal="left" vertical="center" wrapText="1"/>
    </xf>
    <xf numFmtId="0" fontId="55" fillId="7" borderId="1" xfId="0" applyFont="1" applyFill="1" applyBorder="1" applyAlignment="1">
      <alignment horizontal="right" vertical="center" wrapText="1"/>
    </xf>
    <xf numFmtId="164" fontId="55" fillId="7" borderId="1" xfId="0" applyNumberFormat="1" applyFont="1" applyFill="1" applyBorder="1" applyAlignment="1">
      <alignment horizontal="right" vertical="center" wrapText="1"/>
    </xf>
    <xf numFmtId="0" fontId="55" fillId="7" borderId="1" xfId="0" applyFont="1" applyFill="1" applyBorder="1" applyAlignment="1">
      <alignment horizontal="center" vertical="center" wrapText="1"/>
    </xf>
    <xf numFmtId="0" fontId="56" fillId="7" borderId="1" xfId="0" applyFont="1" applyFill="1" applyBorder="1" applyAlignment="1">
      <alignment horizontal="center" vertical="center" wrapText="1"/>
    </xf>
    <xf numFmtId="0" fontId="57" fillId="7" borderId="1" xfId="0" applyFont="1" applyFill="1" applyBorder="1" applyAlignment="1">
      <alignment horizontal="left" vertical="center" wrapText="1"/>
    </xf>
    <xf numFmtId="0" fontId="58" fillId="12" borderId="1" xfId="0" applyFont="1" applyFill="1" applyBorder="1" applyAlignment="1">
      <alignment horizontal="left" vertical="center" wrapText="1"/>
    </xf>
    <xf numFmtId="0" fontId="58" fillId="12" borderId="1" xfId="0" applyFont="1" applyFill="1" applyBorder="1" applyAlignment="1">
      <alignment horizontal="right" vertical="center" wrapText="1"/>
    </xf>
    <xf numFmtId="164" fontId="58" fillId="12" borderId="1" xfId="0" applyNumberFormat="1" applyFont="1" applyFill="1" applyBorder="1" applyAlignment="1">
      <alignment horizontal="right" vertical="center" wrapText="1"/>
    </xf>
    <xf numFmtId="0" fontId="58" fillId="12" borderId="1" xfId="0" applyFont="1" applyFill="1" applyBorder="1" applyAlignment="1">
      <alignment horizontal="center" vertical="center" wrapText="1"/>
    </xf>
    <xf numFmtId="0" fontId="59" fillId="12" borderId="1" xfId="0" applyFont="1" applyFill="1" applyBorder="1" applyAlignment="1">
      <alignment horizontal="center" vertical="center" wrapText="1"/>
    </xf>
    <xf numFmtId="0" fontId="60" fillId="12" borderId="1" xfId="0" applyFont="1" applyFill="1" applyBorder="1" applyAlignment="1">
      <alignment horizontal="left" vertical="center" wrapText="1"/>
    </xf>
    <xf numFmtId="0" fontId="55" fillId="8" borderId="1" xfId="0" applyFont="1" applyFill="1" applyBorder="1" applyAlignment="1">
      <alignment horizontal="left" vertical="center" wrapText="1"/>
    </xf>
    <xf numFmtId="0" fontId="55" fillId="8" borderId="1" xfId="0" applyFont="1" applyFill="1" applyBorder="1" applyAlignment="1">
      <alignment horizontal="right" vertical="center" wrapText="1"/>
    </xf>
    <xf numFmtId="164" fontId="55" fillId="8" borderId="1" xfId="0" applyNumberFormat="1" applyFont="1" applyFill="1" applyBorder="1" applyAlignment="1">
      <alignment horizontal="right" vertical="center" wrapText="1"/>
    </xf>
    <xf numFmtId="0" fontId="55" fillId="8" borderId="1" xfId="0" applyFont="1" applyFill="1" applyBorder="1" applyAlignment="1">
      <alignment horizontal="center" vertical="center" wrapText="1"/>
    </xf>
    <xf numFmtId="0" fontId="56" fillId="8" borderId="1" xfId="0" applyFont="1" applyFill="1" applyBorder="1" applyAlignment="1">
      <alignment horizontal="center" vertical="center" wrapText="1"/>
    </xf>
    <xf numFmtId="0" fontId="57" fillId="8" borderId="1" xfId="0" applyFont="1" applyFill="1" applyBorder="1" applyAlignment="1">
      <alignment horizontal="left" vertical="center" wrapText="1"/>
    </xf>
    <xf numFmtId="0" fontId="61" fillId="9" borderId="1" xfId="0" applyFont="1" applyFill="1" applyBorder="1" applyAlignment="1">
      <alignment horizontal="left" vertical="center" wrapText="1"/>
    </xf>
    <xf numFmtId="0" fontId="61" fillId="9" borderId="1" xfId="0" applyFont="1" applyFill="1" applyBorder="1" applyAlignment="1">
      <alignment horizontal="right" vertical="center" wrapText="1"/>
    </xf>
    <xf numFmtId="164" fontId="61" fillId="9" borderId="1" xfId="0" applyNumberFormat="1" applyFont="1" applyFill="1" applyBorder="1" applyAlignment="1">
      <alignment horizontal="right" vertical="center" wrapText="1"/>
    </xf>
    <xf numFmtId="0" fontId="48" fillId="9" borderId="1" xfId="0" applyFont="1" applyFill="1" applyBorder="1"/>
    <xf numFmtId="0" fontId="27" fillId="13" borderId="2" xfId="0" applyFont="1" applyFill="1" applyBorder="1" applyAlignment="1">
      <alignment horizontal="left" vertical="center" wrapText="1"/>
    </xf>
    <xf numFmtId="0" fontId="62" fillId="5" borderId="1" xfId="0" applyFont="1" applyFill="1" applyBorder="1" applyAlignment="1">
      <alignment horizontal="left" vertical="center" wrapText="1"/>
    </xf>
    <xf numFmtId="0" fontId="52" fillId="5" borderId="1" xfId="0" applyFont="1" applyFill="1" applyBorder="1" applyAlignment="1">
      <alignment horizontal="center" vertical="center" wrapText="1"/>
    </xf>
    <xf numFmtId="164" fontId="52" fillId="5" borderId="1" xfId="0" applyNumberFormat="1" applyFont="1" applyFill="1" applyBorder="1" applyAlignment="1">
      <alignment horizontal="center" vertical="center" wrapText="1"/>
    </xf>
    <xf numFmtId="0" fontId="62" fillId="5" borderId="1" xfId="0" applyFont="1" applyFill="1" applyBorder="1" applyAlignment="1">
      <alignment horizontal="center" vertical="center" wrapText="1"/>
    </xf>
    <xf numFmtId="0" fontId="63" fillId="5" borderId="1" xfId="0" applyFont="1" applyFill="1" applyBorder="1" applyAlignment="1">
      <alignment horizontal="center" vertical="center" wrapText="1"/>
    </xf>
    <xf numFmtId="0" fontId="52" fillId="5" borderId="1" xfId="0" applyFont="1" applyFill="1" applyBorder="1" applyAlignment="1">
      <alignment horizontal="left" vertical="center" wrapText="1"/>
    </xf>
    <xf numFmtId="0" fontId="51" fillId="6" borderId="1" xfId="0" applyFont="1" applyFill="1" applyBorder="1" applyAlignment="1">
      <alignment horizontal="right" vertical="center" wrapText="1"/>
    </xf>
    <xf numFmtId="164" fontId="51" fillId="6" borderId="1" xfId="0" applyNumberFormat="1" applyFont="1" applyFill="1" applyBorder="1" applyAlignment="1">
      <alignment horizontal="right" vertical="center" wrapText="1"/>
    </xf>
    <xf numFmtId="0" fontId="62" fillId="5" borderId="1" xfId="0" applyFont="1" applyFill="1" applyBorder="1" applyAlignment="1">
      <alignment horizontal="right" vertical="center" wrapText="1"/>
    </xf>
    <xf numFmtId="164" fontId="62" fillId="5" borderId="1" xfId="0" applyNumberFormat="1" applyFont="1" applyFill="1" applyBorder="1" applyAlignment="1">
      <alignment horizontal="right" vertical="center" wrapText="1"/>
    </xf>
    <xf numFmtId="0" fontId="63" fillId="5" borderId="0" xfId="0" applyFont="1" applyFill="1" applyAlignment="1">
      <alignment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48" fillId="4" borderId="1" xfId="0" applyFont="1" applyFill="1" applyBorder="1"/>
    <xf numFmtId="0" fontId="27" fillId="4" borderId="1" xfId="0" applyFont="1" applyFill="1" applyBorder="1" applyAlignment="1">
      <alignment horizontal="right" vertical="center" wrapText="1"/>
    </xf>
    <xf numFmtId="164" fontId="27" fillId="4" borderId="1" xfId="0" applyNumberFormat="1" applyFont="1" applyFill="1" applyBorder="1" applyAlignment="1">
      <alignment horizontal="right" vertical="center" wrapText="1"/>
    </xf>
    <xf numFmtId="0" fontId="64" fillId="14" borderId="1" xfId="0" applyFont="1" applyFill="1" applyBorder="1" applyAlignment="1">
      <alignment horizontal="left" vertical="center" wrapText="1"/>
    </xf>
    <xf numFmtId="0" fontId="48" fillId="14" borderId="1" xfId="0" applyFont="1" applyFill="1" applyBorder="1"/>
    <xf numFmtId="0" fontId="64" fillId="14" borderId="1" xfId="0" applyFont="1" applyFill="1" applyBorder="1" applyAlignment="1">
      <alignment horizontal="right" vertical="center" wrapText="1"/>
    </xf>
    <xf numFmtId="164" fontId="64" fillId="14" borderId="1" xfId="0" applyNumberFormat="1" applyFont="1" applyFill="1" applyBorder="1" applyAlignment="1">
      <alignment horizontal="right" vertical="center" wrapText="1"/>
    </xf>
    <xf numFmtId="164" fontId="48" fillId="0" borderId="0" xfId="0" applyNumberFormat="1" applyFont="1"/>
    <xf numFmtId="0" fontId="65" fillId="20" borderId="0" xfId="0" applyFont="1" applyFill="1"/>
    <xf numFmtId="0" fontId="65" fillId="20" borderId="0" xfId="0" applyFont="1" applyFill="1" applyAlignment="1">
      <alignment horizontal="right"/>
    </xf>
    <xf numFmtId="3" fontId="65" fillId="20" borderId="0" xfId="0" applyNumberFormat="1" applyFont="1" applyFill="1"/>
    <xf numFmtId="0" fontId="48" fillId="20" borderId="0" xfId="0" applyFont="1" applyFill="1"/>
    <xf numFmtId="164" fontId="65" fillId="20" borderId="0" xfId="0" applyNumberFormat="1" applyFont="1" applyFill="1"/>
    <xf numFmtId="0" fontId="66" fillId="0" borderId="0" xfId="0" applyFont="1"/>
  </cellXfs>
  <cellStyles count="2">
    <cellStyle name="Comma 2" xfId="1" xr:uid="{8B77C55F-482A-4D9E-917E-99CEB5E5012D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EF3C7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2E8F0"/>
      <rgbColor rgb="FFF0F4FA"/>
      <rgbColor rgb="FF99CCFF"/>
      <rgbColor rgb="FFFF99CC"/>
      <rgbColor rgb="FFCC99FF"/>
      <rgbColor rgb="FFFEE2E2"/>
      <rgbColor rgb="FF2563EB"/>
      <rgbColor rgb="FF33CCCC"/>
      <rgbColor rgb="FF99CC00"/>
      <rgbColor rgb="FFFFD700"/>
      <rgbColor rgb="FFFF9900"/>
      <rgbColor rgb="FFFF6600"/>
      <rgbColor rgb="FF4B5563"/>
      <rgbColor rgb="FF969696"/>
      <rgbColor rgb="FF1B3A5C"/>
      <rgbColor rgb="FF339966"/>
      <rgbColor rgb="FF0D1B2A"/>
      <rgbColor rgb="FF085041"/>
      <rgbColor rgb="FF92400E"/>
      <rgbColor rgb="FF993366"/>
      <rgbColor rgb="FF1E3A5F"/>
      <rgbColor rgb="FF232F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showGridLines="0" zoomScaleNormal="100" workbookViewId="0">
      <pane ySplit="3" topLeftCell="A22" activePane="bottomLeft" state="frozen"/>
      <selection pane="bottomLeft" activeCell="E28" sqref="E28:E29"/>
    </sheetView>
  </sheetViews>
  <sheetFormatPr defaultColWidth="8.6328125" defaultRowHeight="14.5" x14ac:dyDescent="0.35"/>
  <cols>
    <col min="1" max="1" width="26" customWidth="1"/>
    <col min="2" max="2" width="28" customWidth="1"/>
    <col min="3" max="3" width="14.90625" customWidth="1"/>
    <col min="4" max="4" width="12.90625" customWidth="1"/>
    <col min="5" max="5" width="11.1796875" customWidth="1"/>
    <col min="6" max="6" width="10.453125" customWidth="1"/>
    <col min="7" max="7" width="9.7265625" customWidth="1"/>
    <col min="8" max="8" width="10" customWidth="1"/>
    <col min="9" max="9" width="38.6328125" style="48" customWidth="1"/>
  </cols>
  <sheetData>
    <row r="1" spans="1:9" ht="24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13.5" customHeight="1" x14ac:dyDescent="0.35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 ht="19.5" customHeight="1" x14ac:dyDescent="0.35">
      <c r="A3" s="5" t="s">
        <v>2</v>
      </c>
      <c r="B3" s="41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42" t="s">
        <v>10</v>
      </c>
    </row>
    <row r="4" spans="1:9" ht="30" customHeight="1" x14ac:dyDescent="0.35">
      <c r="A4" s="6" t="s">
        <v>11</v>
      </c>
      <c r="B4" s="6" t="s">
        <v>12</v>
      </c>
      <c r="C4" s="6" t="s">
        <v>13</v>
      </c>
      <c r="D4" s="7">
        <v>590</v>
      </c>
      <c r="E4" s="7">
        <v>720</v>
      </c>
      <c r="F4" s="8">
        <f t="shared" ref="F4:F25" si="0">D4-E4</f>
        <v>-130</v>
      </c>
      <c r="G4" s="8">
        <f t="shared" ref="G4:G25" si="1">F4*18</f>
        <v>-2340</v>
      </c>
      <c r="H4" s="9" t="s">
        <v>14</v>
      </c>
      <c r="I4" s="43" t="s">
        <v>15</v>
      </c>
    </row>
    <row r="5" spans="1:9" ht="30" customHeight="1" x14ac:dyDescent="0.35">
      <c r="A5" s="6" t="s">
        <v>16</v>
      </c>
      <c r="B5" s="6" t="s">
        <v>17</v>
      </c>
      <c r="C5" s="6" t="s">
        <v>18</v>
      </c>
      <c r="D5" s="7">
        <v>50</v>
      </c>
      <c r="E5" s="7">
        <v>20</v>
      </c>
      <c r="F5" s="8">
        <f t="shared" si="0"/>
        <v>30</v>
      </c>
      <c r="G5" s="8">
        <f t="shared" si="1"/>
        <v>540</v>
      </c>
      <c r="H5" s="9" t="s">
        <v>14</v>
      </c>
      <c r="I5" s="43" t="s">
        <v>19</v>
      </c>
    </row>
    <row r="6" spans="1:9" ht="30" customHeight="1" x14ac:dyDescent="0.35">
      <c r="A6" s="6" t="s">
        <v>20</v>
      </c>
      <c r="B6" s="6" t="s">
        <v>21</v>
      </c>
      <c r="C6" s="6" t="s">
        <v>22</v>
      </c>
      <c r="D6" s="7">
        <v>29</v>
      </c>
      <c r="E6" s="7">
        <v>15</v>
      </c>
      <c r="F6" s="8">
        <f t="shared" si="0"/>
        <v>14</v>
      </c>
      <c r="G6" s="8">
        <f t="shared" si="1"/>
        <v>252</v>
      </c>
      <c r="H6" s="9" t="s">
        <v>14</v>
      </c>
      <c r="I6" s="43" t="s">
        <v>23</v>
      </c>
    </row>
    <row r="7" spans="1:9" ht="30" customHeight="1" x14ac:dyDescent="0.35">
      <c r="A7" s="6" t="s">
        <v>24</v>
      </c>
      <c r="B7" s="6" t="s">
        <v>25</v>
      </c>
      <c r="C7" s="6" t="s">
        <v>26</v>
      </c>
      <c r="D7" s="7">
        <v>100</v>
      </c>
      <c r="E7" s="7">
        <v>18</v>
      </c>
      <c r="F7" s="8">
        <f t="shared" si="0"/>
        <v>82</v>
      </c>
      <c r="G7" s="8">
        <f t="shared" si="1"/>
        <v>1476</v>
      </c>
      <c r="H7" s="9" t="s">
        <v>14</v>
      </c>
      <c r="I7" s="43" t="s">
        <v>27</v>
      </c>
    </row>
    <row r="8" spans="1:9" ht="30" customHeight="1" x14ac:dyDescent="0.35">
      <c r="A8" s="6" t="s">
        <v>28</v>
      </c>
      <c r="B8" s="6" t="s">
        <v>29</v>
      </c>
      <c r="C8" s="6" t="s">
        <v>30</v>
      </c>
      <c r="D8" s="7">
        <v>50</v>
      </c>
      <c r="E8" s="7">
        <v>35</v>
      </c>
      <c r="F8" s="8">
        <f t="shared" si="0"/>
        <v>15</v>
      </c>
      <c r="G8" s="8">
        <f t="shared" si="1"/>
        <v>270</v>
      </c>
      <c r="H8" s="9" t="s">
        <v>14</v>
      </c>
      <c r="I8" s="43" t="s">
        <v>31</v>
      </c>
    </row>
    <row r="9" spans="1:9" ht="30" customHeight="1" x14ac:dyDescent="0.35">
      <c r="A9" s="6" t="s">
        <v>32</v>
      </c>
      <c r="B9" s="6" t="s">
        <v>33</v>
      </c>
      <c r="C9" s="6" t="s">
        <v>34</v>
      </c>
      <c r="D9" s="7">
        <v>40</v>
      </c>
      <c r="E9" s="7">
        <v>40</v>
      </c>
      <c r="F9" s="8">
        <f t="shared" si="0"/>
        <v>0</v>
      </c>
      <c r="G9" s="8">
        <f t="shared" si="1"/>
        <v>0</v>
      </c>
      <c r="H9" s="9" t="s">
        <v>14</v>
      </c>
      <c r="I9" s="43" t="s">
        <v>35</v>
      </c>
    </row>
    <row r="10" spans="1:9" ht="30" customHeight="1" x14ac:dyDescent="0.35">
      <c r="A10" s="6" t="s">
        <v>36</v>
      </c>
      <c r="B10" s="6" t="s">
        <v>37</v>
      </c>
      <c r="C10" s="6" t="s">
        <v>38</v>
      </c>
      <c r="D10" s="7">
        <v>20</v>
      </c>
      <c r="E10" s="7">
        <v>20</v>
      </c>
      <c r="F10" s="8">
        <f t="shared" si="0"/>
        <v>0</v>
      </c>
      <c r="G10" s="8">
        <f t="shared" si="1"/>
        <v>0</v>
      </c>
      <c r="H10" s="9" t="s">
        <v>14</v>
      </c>
      <c r="I10" s="43" t="s">
        <v>35</v>
      </c>
    </row>
    <row r="11" spans="1:9" ht="30" customHeight="1" x14ac:dyDescent="0.35">
      <c r="A11" s="6" t="s">
        <v>39</v>
      </c>
      <c r="B11" s="6" t="s">
        <v>40</v>
      </c>
      <c r="C11" s="6" t="s">
        <v>41</v>
      </c>
      <c r="D11" s="7">
        <v>0</v>
      </c>
      <c r="E11" s="7">
        <v>25</v>
      </c>
      <c r="F11" s="8">
        <f t="shared" si="0"/>
        <v>-25</v>
      </c>
      <c r="G11" s="8">
        <f t="shared" si="1"/>
        <v>-450</v>
      </c>
      <c r="H11" s="9" t="s">
        <v>14</v>
      </c>
      <c r="I11" s="43" t="s">
        <v>42</v>
      </c>
    </row>
    <row r="12" spans="1:9" ht="30" customHeight="1" x14ac:dyDescent="0.35">
      <c r="A12" s="6" t="s">
        <v>43</v>
      </c>
      <c r="B12" s="6" t="s">
        <v>44</v>
      </c>
      <c r="C12" s="6" t="s">
        <v>45</v>
      </c>
      <c r="D12" s="7">
        <v>0</v>
      </c>
      <c r="E12" s="7">
        <v>100</v>
      </c>
      <c r="F12" s="8">
        <f t="shared" si="0"/>
        <v>-100</v>
      </c>
      <c r="G12" s="8">
        <f t="shared" si="1"/>
        <v>-1800</v>
      </c>
      <c r="H12" s="9" t="s">
        <v>14</v>
      </c>
      <c r="I12" s="43" t="s">
        <v>46</v>
      </c>
    </row>
    <row r="13" spans="1:9" ht="30" customHeight="1" x14ac:dyDescent="0.35">
      <c r="A13" s="6" t="s">
        <v>43</v>
      </c>
      <c r="B13" s="6" t="s">
        <v>47</v>
      </c>
      <c r="C13" s="6" t="s">
        <v>48</v>
      </c>
      <c r="D13" s="7">
        <v>0</v>
      </c>
      <c r="E13" s="7">
        <v>15</v>
      </c>
      <c r="F13" s="8">
        <f t="shared" si="0"/>
        <v>-15</v>
      </c>
      <c r="G13" s="8">
        <f t="shared" si="1"/>
        <v>-270</v>
      </c>
      <c r="H13" s="9" t="s">
        <v>14</v>
      </c>
      <c r="I13" s="43" t="s">
        <v>49</v>
      </c>
    </row>
    <row r="14" spans="1:9" ht="30" customHeight="1" x14ac:dyDescent="0.35">
      <c r="A14" s="6" t="s">
        <v>43</v>
      </c>
      <c r="B14" s="6" t="s">
        <v>50</v>
      </c>
      <c r="C14" s="6" t="s">
        <v>51</v>
      </c>
      <c r="D14" s="7">
        <v>0</v>
      </c>
      <c r="E14" s="7">
        <v>30</v>
      </c>
      <c r="F14" s="8">
        <f t="shared" si="0"/>
        <v>-30</v>
      </c>
      <c r="G14" s="8">
        <f t="shared" si="1"/>
        <v>-540</v>
      </c>
      <c r="H14" s="9" t="s">
        <v>14</v>
      </c>
      <c r="I14" s="43" t="s">
        <v>52</v>
      </c>
    </row>
    <row r="15" spans="1:9" ht="30" customHeight="1" x14ac:dyDescent="0.35">
      <c r="A15" s="10" t="s">
        <v>53</v>
      </c>
      <c r="B15" s="10" t="s">
        <v>54</v>
      </c>
      <c r="C15" s="10" t="s">
        <v>55</v>
      </c>
      <c r="D15" s="11">
        <v>599</v>
      </c>
      <c r="E15" s="11">
        <v>75</v>
      </c>
      <c r="F15" s="12">
        <f t="shared" si="0"/>
        <v>524</v>
      </c>
      <c r="G15" s="12">
        <f t="shared" si="1"/>
        <v>9432</v>
      </c>
      <c r="H15" s="13" t="s">
        <v>56</v>
      </c>
      <c r="I15" s="44" t="s">
        <v>57</v>
      </c>
    </row>
    <row r="16" spans="1:9" ht="30" customHeight="1" x14ac:dyDescent="0.35">
      <c r="A16" s="6" t="s">
        <v>58</v>
      </c>
      <c r="B16" s="6" t="s">
        <v>59</v>
      </c>
      <c r="C16" s="6" t="s">
        <v>60</v>
      </c>
      <c r="D16" s="7">
        <v>26</v>
      </c>
      <c r="E16" s="7">
        <v>0</v>
      </c>
      <c r="F16" s="8">
        <f t="shared" si="0"/>
        <v>26</v>
      </c>
      <c r="G16" s="8">
        <f t="shared" si="1"/>
        <v>468</v>
      </c>
      <c r="H16" s="9" t="s">
        <v>14</v>
      </c>
      <c r="I16" s="43" t="s">
        <v>61</v>
      </c>
    </row>
    <row r="17" spans="1:9" ht="30" customHeight="1" x14ac:dyDescent="0.35">
      <c r="A17" s="6" t="s">
        <v>62</v>
      </c>
      <c r="B17" s="6" t="s">
        <v>63</v>
      </c>
      <c r="C17" s="6" t="s">
        <v>64</v>
      </c>
      <c r="D17" s="7">
        <v>59</v>
      </c>
      <c r="E17" s="7">
        <v>8</v>
      </c>
      <c r="F17" s="8">
        <f t="shared" si="0"/>
        <v>51</v>
      </c>
      <c r="G17" s="8">
        <f t="shared" si="1"/>
        <v>918</v>
      </c>
      <c r="H17" s="9" t="s">
        <v>14</v>
      </c>
      <c r="I17" s="43" t="s">
        <v>65</v>
      </c>
    </row>
    <row r="18" spans="1:9" ht="30" customHeight="1" x14ac:dyDescent="0.35">
      <c r="A18" s="6" t="s">
        <v>66</v>
      </c>
      <c r="B18" s="6" t="s">
        <v>67</v>
      </c>
      <c r="C18" s="6" t="s">
        <v>68</v>
      </c>
      <c r="D18" s="7">
        <v>20</v>
      </c>
      <c r="E18" s="7">
        <v>4</v>
      </c>
      <c r="F18" s="8">
        <f t="shared" si="0"/>
        <v>16</v>
      </c>
      <c r="G18" s="8">
        <f t="shared" si="1"/>
        <v>288</v>
      </c>
      <c r="H18" s="9" t="s">
        <v>14</v>
      </c>
      <c r="I18" s="43" t="s">
        <v>69</v>
      </c>
    </row>
    <row r="19" spans="1:9" ht="30" customHeight="1" x14ac:dyDescent="0.35">
      <c r="A19" s="6" t="s">
        <v>70</v>
      </c>
      <c r="B19" s="6" t="s">
        <v>71</v>
      </c>
      <c r="C19" s="6" t="s">
        <v>72</v>
      </c>
      <c r="D19" s="7">
        <v>20</v>
      </c>
      <c r="E19" s="7">
        <v>10</v>
      </c>
      <c r="F19" s="8">
        <f t="shared" si="0"/>
        <v>10</v>
      </c>
      <c r="G19" s="8">
        <f t="shared" si="1"/>
        <v>180</v>
      </c>
      <c r="H19" s="9" t="s">
        <v>14</v>
      </c>
      <c r="I19" s="43" t="s">
        <v>73</v>
      </c>
    </row>
    <row r="20" spans="1:9" ht="30" customHeight="1" x14ac:dyDescent="0.35">
      <c r="A20" s="6" t="s">
        <v>74</v>
      </c>
      <c r="B20" s="6" t="s">
        <v>75</v>
      </c>
      <c r="C20" s="6" t="s">
        <v>76</v>
      </c>
      <c r="D20" s="7">
        <v>45</v>
      </c>
      <c r="E20" s="7">
        <v>5</v>
      </c>
      <c r="F20" s="8">
        <f t="shared" si="0"/>
        <v>40</v>
      </c>
      <c r="G20" s="8">
        <f t="shared" si="1"/>
        <v>720</v>
      </c>
      <c r="H20" s="9" t="s">
        <v>14</v>
      </c>
      <c r="I20" s="43" t="s">
        <v>77</v>
      </c>
    </row>
    <row r="21" spans="1:9" ht="30" customHeight="1" x14ac:dyDescent="0.35">
      <c r="A21" s="14" t="s">
        <v>78</v>
      </c>
      <c r="B21" s="14" t="s">
        <v>79</v>
      </c>
      <c r="C21" s="14" t="s">
        <v>80</v>
      </c>
      <c r="D21" s="15">
        <v>0</v>
      </c>
      <c r="E21" s="15">
        <v>0</v>
      </c>
      <c r="F21" s="16">
        <f t="shared" si="0"/>
        <v>0</v>
      </c>
      <c r="G21" s="16">
        <f t="shared" si="1"/>
        <v>0</v>
      </c>
      <c r="H21" s="17" t="s">
        <v>56</v>
      </c>
      <c r="I21" s="45" t="s">
        <v>81</v>
      </c>
    </row>
    <row r="22" spans="1:9" ht="30" customHeight="1" x14ac:dyDescent="0.35">
      <c r="A22" s="19" t="s">
        <v>82</v>
      </c>
      <c r="B22" s="19" t="s">
        <v>83</v>
      </c>
      <c r="C22" s="19" t="s">
        <v>84</v>
      </c>
      <c r="D22" s="20">
        <v>15</v>
      </c>
      <c r="E22" s="20">
        <v>15</v>
      </c>
      <c r="F22" s="21">
        <f t="shared" si="0"/>
        <v>0</v>
      </c>
      <c r="G22" s="21">
        <f t="shared" si="1"/>
        <v>0</v>
      </c>
      <c r="H22" s="22" t="s">
        <v>56</v>
      </c>
      <c r="I22" s="46" t="s">
        <v>85</v>
      </c>
    </row>
    <row r="23" spans="1:9" ht="30" customHeight="1" x14ac:dyDescent="0.35">
      <c r="A23" s="6" t="s">
        <v>86</v>
      </c>
      <c r="B23" s="6" t="s">
        <v>87</v>
      </c>
      <c r="C23" s="6" t="s">
        <v>88</v>
      </c>
      <c r="D23" s="7">
        <v>0</v>
      </c>
      <c r="E23" s="7">
        <v>10</v>
      </c>
      <c r="F23" s="8">
        <f t="shared" si="0"/>
        <v>-10</v>
      </c>
      <c r="G23" s="8">
        <f t="shared" si="1"/>
        <v>-180</v>
      </c>
      <c r="H23" s="9" t="s">
        <v>14</v>
      </c>
      <c r="I23" s="43" t="s">
        <v>89</v>
      </c>
    </row>
    <row r="24" spans="1:9" ht="30" customHeight="1" x14ac:dyDescent="0.35">
      <c r="A24" s="10" t="s">
        <v>90</v>
      </c>
      <c r="B24" s="10" t="s">
        <v>91</v>
      </c>
      <c r="C24" s="10" t="s">
        <v>92</v>
      </c>
      <c r="D24" s="11">
        <v>16</v>
      </c>
      <c r="E24" s="11">
        <v>0</v>
      </c>
      <c r="F24" s="12">
        <f t="shared" si="0"/>
        <v>16</v>
      </c>
      <c r="G24" s="12">
        <f t="shared" si="1"/>
        <v>288</v>
      </c>
      <c r="H24" s="13" t="s">
        <v>14</v>
      </c>
      <c r="I24" s="44" t="s">
        <v>93</v>
      </c>
    </row>
    <row r="25" spans="1:9" ht="30" customHeight="1" x14ac:dyDescent="0.35">
      <c r="A25" s="14" t="s">
        <v>94</v>
      </c>
      <c r="B25" s="14" t="s">
        <v>95</v>
      </c>
      <c r="C25" s="14" t="s">
        <v>96</v>
      </c>
      <c r="D25" s="15">
        <v>20</v>
      </c>
      <c r="E25" s="15">
        <v>20</v>
      </c>
      <c r="F25" s="16">
        <f t="shared" si="0"/>
        <v>0</v>
      </c>
      <c r="G25" s="16">
        <f t="shared" si="1"/>
        <v>0</v>
      </c>
      <c r="H25" s="17" t="s">
        <v>56</v>
      </c>
      <c r="I25" s="45" t="s">
        <v>97</v>
      </c>
    </row>
    <row r="26" spans="1:9" ht="15.75" customHeight="1" x14ac:dyDescent="0.35">
      <c r="A26" s="2" t="s">
        <v>98</v>
      </c>
      <c r="B26" s="2"/>
      <c r="C26" s="2"/>
      <c r="D26" s="25">
        <f>SUM(D4:D25)</f>
        <v>1699</v>
      </c>
      <c r="E26" s="25">
        <f>SUM(E4:E25)</f>
        <v>1185</v>
      </c>
      <c r="F26" s="25">
        <f>SUM(F4:F25)</f>
        <v>514</v>
      </c>
      <c r="G26" s="25">
        <f>SUM(G4:G25)</f>
        <v>9252</v>
      </c>
      <c r="H26" s="26"/>
      <c r="I26" s="47"/>
    </row>
  </sheetData>
  <mergeCells count="3">
    <mergeCell ref="A1:I1"/>
    <mergeCell ref="A2:I2"/>
    <mergeCell ref="A26:C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showGridLines="0" topLeftCell="A13" zoomScaleNormal="100" workbookViewId="0">
      <selection activeCell="B6" sqref="B6"/>
    </sheetView>
  </sheetViews>
  <sheetFormatPr defaultColWidth="8.6328125" defaultRowHeight="14.5" x14ac:dyDescent="0.35"/>
  <cols>
    <col min="1" max="1" width="30" customWidth="1"/>
    <col min="2" max="2" width="12.08984375" customWidth="1"/>
    <col min="3" max="3" width="14" customWidth="1"/>
    <col min="4" max="9" width="12.36328125" customWidth="1"/>
    <col min="10" max="10" width="14.453125" customWidth="1"/>
  </cols>
  <sheetData>
    <row r="1" spans="1:10" ht="24" customHeight="1" x14ac:dyDescent="0.35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3.5" customHeight="1" x14ac:dyDescent="0.35">
      <c r="A2" s="3" t="s">
        <v>100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35">
      <c r="A3" s="1" t="s">
        <v>101</v>
      </c>
      <c r="B3" s="1"/>
      <c r="C3" s="1"/>
      <c r="D3" s="1"/>
      <c r="E3" s="1"/>
      <c r="F3" s="1"/>
      <c r="G3" s="1"/>
      <c r="H3" s="1"/>
      <c r="I3" s="1"/>
      <c r="J3" s="1"/>
    </row>
    <row r="4" spans="1:10" ht="36" x14ac:dyDescent="0.35">
      <c r="A4" s="19" t="s">
        <v>102</v>
      </c>
      <c r="B4" s="27" t="s">
        <v>103</v>
      </c>
      <c r="C4" s="28" t="s">
        <v>104</v>
      </c>
      <c r="D4" s="29"/>
      <c r="E4" s="29"/>
      <c r="F4" s="29"/>
      <c r="G4" s="29"/>
      <c r="H4" s="29"/>
      <c r="I4" s="29"/>
      <c r="J4" s="29"/>
    </row>
    <row r="5" spans="1:10" ht="36" x14ac:dyDescent="0.35">
      <c r="A5" s="14" t="s">
        <v>105</v>
      </c>
      <c r="B5" s="30">
        <v>50000</v>
      </c>
      <c r="C5" s="31" t="s">
        <v>106</v>
      </c>
      <c r="D5" s="32"/>
      <c r="E5" s="32"/>
      <c r="F5" s="32"/>
      <c r="G5" s="32"/>
      <c r="H5" s="32"/>
      <c r="I5" s="32"/>
      <c r="J5" s="32"/>
    </row>
    <row r="6" spans="1:10" ht="24" x14ac:dyDescent="0.35">
      <c r="A6" s="19" t="s">
        <v>107</v>
      </c>
      <c r="B6" s="33" t="s">
        <v>108</v>
      </c>
      <c r="C6" s="28" t="s">
        <v>109</v>
      </c>
      <c r="D6" s="29"/>
      <c r="E6" s="29"/>
      <c r="F6" s="29"/>
      <c r="G6" s="29"/>
      <c r="H6" s="29"/>
      <c r="I6" s="29"/>
      <c r="J6" s="29"/>
    </row>
    <row r="7" spans="1:10" ht="24" x14ac:dyDescent="0.35">
      <c r="A7" s="14" t="s">
        <v>110</v>
      </c>
      <c r="B7" s="34">
        <f>B5/B6</f>
        <v>2777.7777777777778</v>
      </c>
      <c r="C7" s="31" t="s">
        <v>111</v>
      </c>
      <c r="D7" s="32"/>
      <c r="E7" s="32"/>
      <c r="F7" s="32"/>
      <c r="G7" s="32"/>
      <c r="H7" s="32"/>
      <c r="I7" s="32"/>
      <c r="J7" s="32"/>
    </row>
    <row r="8" spans="1:10" ht="24" x14ac:dyDescent="0.35">
      <c r="A8" s="19" t="s">
        <v>112</v>
      </c>
      <c r="B8" s="33" t="s">
        <v>113</v>
      </c>
      <c r="C8" s="28" t="s">
        <v>114</v>
      </c>
      <c r="D8" s="29"/>
      <c r="E8" s="29"/>
      <c r="F8" s="29"/>
      <c r="G8" s="29"/>
      <c r="H8" s="29"/>
      <c r="I8" s="29"/>
      <c r="J8" s="29"/>
    </row>
    <row r="9" spans="1:10" ht="18" customHeight="1" x14ac:dyDescent="0.35">
      <c r="A9" s="1" t="s">
        <v>115</v>
      </c>
      <c r="B9" s="1"/>
      <c r="C9" s="1"/>
      <c r="D9" s="1"/>
      <c r="E9" s="1"/>
      <c r="F9" s="1"/>
      <c r="G9" s="1"/>
      <c r="H9" s="1"/>
      <c r="I9" s="1"/>
      <c r="J9" s="1"/>
    </row>
    <row r="10" spans="1:10" ht="18" customHeight="1" x14ac:dyDescent="0.35">
      <c r="A10" s="35" t="s">
        <v>116</v>
      </c>
      <c r="B10" s="35" t="s">
        <v>117</v>
      </c>
      <c r="C10" s="35" t="s">
        <v>118</v>
      </c>
      <c r="D10" s="35" t="s">
        <v>119</v>
      </c>
      <c r="E10" s="35" t="s">
        <v>120</v>
      </c>
      <c r="F10" s="35" t="s">
        <v>121</v>
      </c>
      <c r="G10" s="35" t="s">
        <v>122</v>
      </c>
      <c r="H10" s="35" t="s">
        <v>123</v>
      </c>
      <c r="I10" s="35" t="s">
        <v>124</v>
      </c>
      <c r="J10" s="35" t="s">
        <v>125</v>
      </c>
    </row>
    <row r="11" spans="1:10" ht="15.75" customHeight="1" x14ac:dyDescent="0.35">
      <c r="A11" s="19" t="s">
        <v>126</v>
      </c>
      <c r="B11" s="36">
        <v>400</v>
      </c>
      <c r="C11" s="36">
        <v>400</v>
      </c>
      <c r="D11" s="36">
        <v>400</v>
      </c>
      <c r="E11" s="36">
        <v>500</v>
      </c>
      <c r="F11" s="36">
        <v>500</v>
      </c>
      <c r="G11" s="36">
        <v>720</v>
      </c>
      <c r="H11" s="36">
        <v>750</v>
      </c>
      <c r="I11" s="36">
        <v>900</v>
      </c>
      <c r="J11" s="20">
        <v>13270</v>
      </c>
    </row>
    <row r="12" spans="1:10" ht="15.75" customHeight="1" x14ac:dyDescent="0.35">
      <c r="A12" s="14" t="s">
        <v>127</v>
      </c>
      <c r="B12" s="37">
        <v>20</v>
      </c>
      <c r="C12" s="37">
        <v>20</v>
      </c>
      <c r="D12" s="37">
        <v>20</v>
      </c>
      <c r="E12" s="37">
        <v>20</v>
      </c>
      <c r="F12" s="37">
        <v>20</v>
      </c>
      <c r="G12" s="37">
        <v>20</v>
      </c>
      <c r="H12" s="37">
        <v>25</v>
      </c>
      <c r="I12" s="37">
        <v>35</v>
      </c>
      <c r="J12" s="15">
        <v>510</v>
      </c>
    </row>
    <row r="13" spans="1:10" ht="15.75" customHeight="1" x14ac:dyDescent="0.35">
      <c r="A13" s="19" t="s">
        <v>128</v>
      </c>
      <c r="B13" s="36">
        <v>5</v>
      </c>
      <c r="C13" s="36">
        <v>5</v>
      </c>
      <c r="D13" s="36">
        <v>5</v>
      </c>
      <c r="E13" s="36">
        <v>10</v>
      </c>
      <c r="F13" s="36">
        <v>10</v>
      </c>
      <c r="G13" s="36">
        <v>15</v>
      </c>
      <c r="H13" s="36">
        <v>20</v>
      </c>
      <c r="I13" s="36">
        <v>30</v>
      </c>
      <c r="J13" s="20">
        <v>380</v>
      </c>
    </row>
    <row r="14" spans="1:10" ht="15.75" customHeight="1" x14ac:dyDescent="0.35">
      <c r="A14" s="14" t="s">
        <v>129</v>
      </c>
      <c r="B14" s="37">
        <v>18</v>
      </c>
      <c r="C14" s="37">
        <v>18</v>
      </c>
      <c r="D14" s="37">
        <v>18</v>
      </c>
      <c r="E14" s="37">
        <v>20</v>
      </c>
      <c r="F14" s="37">
        <v>20</v>
      </c>
      <c r="G14" s="37">
        <v>22</v>
      </c>
      <c r="H14" s="37">
        <v>25</v>
      </c>
      <c r="I14" s="37">
        <v>30</v>
      </c>
      <c r="J14" s="15">
        <v>461</v>
      </c>
    </row>
    <row r="15" spans="1:10" ht="15.75" customHeight="1" x14ac:dyDescent="0.35">
      <c r="A15" s="19" t="s">
        <v>130</v>
      </c>
      <c r="B15" s="36">
        <v>25</v>
      </c>
      <c r="C15" s="36">
        <v>25</v>
      </c>
      <c r="D15" s="36">
        <v>25</v>
      </c>
      <c r="E15" s="36">
        <v>30</v>
      </c>
      <c r="F15" s="36">
        <v>30</v>
      </c>
      <c r="G15" s="36">
        <v>35</v>
      </c>
      <c r="H15" s="36">
        <v>40</v>
      </c>
      <c r="I15" s="36">
        <v>45</v>
      </c>
      <c r="J15" s="20">
        <v>695</v>
      </c>
    </row>
    <row r="16" spans="1:10" ht="15.75" customHeight="1" x14ac:dyDescent="0.35">
      <c r="A16" s="14" t="s">
        <v>131</v>
      </c>
      <c r="B16" s="37">
        <v>40</v>
      </c>
      <c r="C16" s="37">
        <v>40</v>
      </c>
      <c r="D16" s="37">
        <v>40</v>
      </c>
      <c r="E16" s="37">
        <v>45</v>
      </c>
      <c r="F16" s="37">
        <v>45</v>
      </c>
      <c r="G16" s="37">
        <v>50</v>
      </c>
      <c r="H16" s="37">
        <v>55</v>
      </c>
      <c r="I16" s="37">
        <v>65</v>
      </c>
      <c r="J16" s="15">
        <v>1010</v>
      </c>
    </row>
    <row r="17" spans="1:10" ht="15.75" customHeight="1" x14ac:dyDescent="0.35">
      <c r="A17" s="19" t="s">
        <v>132</v>
      </c>
      <c r="B17" s="36">
        <v>20</v>
      </c>
      <c r="C17" s="36">
        <v>20</v>
      </c>
      <c r="D17" s="36">
        <v>20</v>
      </c>
      <c r="E17" s="36">
        <v>20</v>
      </c>
      <c r="F17" s="36">
        <v>20</v>
      </c>
      <c r="G17" s="36">
        <v>20</v>
      </c>
      <c r="H17" s="36">
        <v>20</v>
      </c>
      <c r="I17" s="36">
        <v>25</v>
      </c>
      <c r="J17" s="20">
        <v>405</v>
      </c>
    </row>
    <row r="18" spans="1:10" ht="15.75" customHeight="1" x14ac:dyDescent="0.35">
      <c r="A18" s="14" t="s">
        <v>133</v>
      </c>
      <c r="B18" s="37">
        <v>80</v>
      </c>
      <c r="C18" s="37">
        <v>80</v>
      </c>
      <c r="D18" s="37">
        <v>80</v>
      </c>
      <c r="E18" s="37">
        <v>90</v>
      </c>
      <c r="F18" s="37">
        <v>90</v>
      </c>
      <c r="G18" s="37">
        <v>100</v>
      </c>
      <c r="H18" s="37">
        <v>110</v>
      </c>
      <c r="I18" s="37">
        <v>120</v>
      </c>
      <c r="J18" s="15">
        <v>1930</v>
      </c>
    </row>
    <row r="19" spans="1:10" ht="15.75" customHeight="1" x14ac:dyDescent="0.35">
      <c r="A19" s="19" t="s">
        <v>134</v>
      </c>
      <c r="B19" s="36">
        <v>10</v>
      </c>
      <c r="C19" s="36">
        <v>10</v>
      </c>
      <c r="D19" s="36">
        <v>10</v>
      </c>
      <c r="E19" s="36">
        <v>12</v>
      </c>
      <c r="F19" s="36">
        <v>12</v>
      </c>
      <c r="G19" s="36">
        <v>15</v>
      </c>
      <c r="H19" s="36">
        <v>15</v>
      </c>
      <c r="I19" s="36">
        <v>18</v>
      </c>
      <c r="J19" s="20">
        <v>276</v>
      </c>
    </row>
    <row r="20" spans="1:10" ht="15.75" customHeight="1" x14ac:dyDescent="0.35">
      <c r="A20" s="14" t="s">
        <v>135</v>
      </c>
      <c r="B20" s="37">
        <v>15</v>
      </c>
      <c r="C20" s="37">
        <v>15</v>
      </c>
      <c r="D20" s="37">
        <v>15</v>
      </c>
      <c r="E20" s="37">
        <v>20</v>
      </c>
      <c r="F20" s="37">
        <v>20</v>
      </c>
      <c r="G20" s="37">
        <v>25</v>
      </c>
      <c r="H20" s="37">
        <v>30</v>
      </c>
      <c r="I20" s="37">
        <v>35</v>
      </c>
      <c r="J20" s="15">
        <v>515</v>
      </c>
    </row>
    <row r="21" spans="1:10" ht="15.75" customHeight="1" x14ac:dyDescent="0.35">
      <c r="A21" s="19" t="s">
        <v>136</v>
      </c>
      <c r="B21" s="36">
        <v>4</v>
      </c>
      <c r="C21" s="36">
        <v>4</v>
      </c>
      <c r="D21" s="36">
        <v>4</v>
      </c>
      <c r="E21" s="36">
        <v>5</v>
      </c>
      <c r="F21" s="36">
        <v>5</v>
      </c>
      <c r="G21" s="36">
        <v>6</v>
      </c>
      <c r="H21" s="36">
        <v>8</v>
      </c>
      <c r="I21" s="36">
        <v>10</v>
      </c>
      <c r="J21" s="20">
        <v>142</v>
      </c>
    </row>
    <row r="22" spans="1:10" ht="15.75" customHeight="1" x14ac:dyDescent="0.35">
      <c r="A22" s="14" t="s">
        <v>137</v>
      </c>
      <c r="B22" s="37">
        <v>2</v>
      </c>
      <c r="C22" s="37">
        <v>2</v>
      </c>
      <c r="D22" s="37">
        <v>2</v>
      </c>
      <c r="E22" s="37">
        <v>3</v>
      </c>
      <c r="F22" s="37">
        <v>3</v>
      </c>
      <c r="G22" s="37">
        <v>4</v>
      </c>
      <c r="H22" s="37">
        <v>4</v>
      </c>
      <c r="I22" s="37">
        <v>5</v>
      </c>
      <c r="J22" s="15">
        <v>73</v>
      </c>
    </row>
    <row r="23" spans="1:10" ht="15.75" customHeight="1" x14ac:dyDescent="0.35">
      <c r="A23" s="19" t="s">
        <v>138</v>
      </c>
      <c r="B23" s="36">
        <v>2</v>
      </c>
      <c r="C23" s="36">
        <v>2</v>
      </c>
      <c r="D23" s="36">
        <v>3</v>
      </c>
      <c r="E23" s="36">
        <v>4</v>
      </c>
      <c r="F23" s="36">
        <v>5</v>
      </c>
      <c r="G23" s="36">
        <v>6</v>
      </c>
      <c r="H23" s="36">
        <v>7</v>
      </c>
      <c r="I23" s="36">
        <v>10</v>
      </c>
      <c r="J23" s="20">
        <v>133</v>
      </c>
    </row>
    <row r="24" spans="1:10" ht="15.75" customHeight="1" x14ac:dyDescent="0.35">
      <c r="A24" s="14" t="s">
        <v>139</v>
      </c>
      <c r="B24" s="37">
        <v>0</v>
      </c>
      <c r="C24" s="37">
        <v>0</v>
      </c>
      <c r="D24" s="37">
        <v>5</v>
      </c>
      <c r="E24" s="37">
        <v>8</v>
      </c>
      <c r="F24" s="37">
        <v>10</v>
      </c>
      <c r="G24" s="37">
        <v>10</v>
      </c>
      <c r="H24" s="37">
        <v>12</v>
      </c>
      <c r="I24" s="37">
        <v>15</v>
      </c>
      <c r="J24" s="15">
        <v>204</v>
      </c>
    </row>
    <row r="25" spans="1:10" ht="15.75" customHeight="1" x14ac:dyDescent="0.35">
      <c r="A25" s="19" t="s">
        <v>140</v>
      </c>
      <c r="B25" s="36">
        <v>0</v>
      </c>
      <c r="C25" s="36">
        <v>0</v>
      </c>
      <c r="D25" s="36">
        <v>0</v>
      </c>
      <c r="E25" s="36">
        <v>10</v>
      </c>
      <c r="F25" s="36">
        <v>15</v>
      </c>
      <c r="G25" s="36">
        <v>20</v>
      </c>
      <c r="H25" s="36">
        <v>25</v>
      </c>
      <c r="I25" s="36">
        <v>35</v>
      </c>
      <c r="J25" s="20">
        <v>435</v>
      </c>
    </row>
    <row r="26" spans="1:10" ht="15.75" customHeight="1" x14ac:dyDescent="0.35">
      <c r="A26" s="14" t="s">
        <v>141</v>
      </c>
      <c r="B26" s="37">
        <v>5</v>
      </c>
      <c r="C26" s="37">
        <v>5</v>
      </c>
      <c r="D26" s="37">
        <v>5</v>
      </c>
      <c r="E26" s="37">
        <v>8</v>
      </c>
      <c r="F26" s="37">
        <v>8</v>
      </c>
      <c r="G26" s="37">
        <v>10</v>
      </c>
      <c r="H26" s="37">
        <v>10</v>
      </c>
      <c r="I26" s="37">
        <v>12</v>
      </c>
      <c r="J26" s="15">
        <v>179</v>
      </c>
    </row>
    <row r="27" spans="1:10" ht="15.75" customHeight="1" x14ac:dyDescent="0.35">
      <c r="A27" s="19" t="s">
        <v>142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20">
        <v>0</v>
      </c>
    </row>
    <row r="28" spans="1:10" ht="15.75" customHeight="1" x14ac:dyDescent="0.35">
      <c r="A28" s="24" t="s">
        <v>143</v>
      </c>
      <c r="B28" s="25">
        <f t="shared" ref="B28:J28" si="0">SUM(B11:B27)</f>
        <v>646</v>
      </c>
      <c r="C28" s="25">
        <f t="shared" si="0"/>
        <v>646</v>
      </c>
      <c r="D28" s="25">
        <f t="shared" si="0"/>
        <v>652</v>
      </c>
      <c r="E28" s="25">
        <f t="shared" si="0"/>
        <v>805</v>
      </c>
      <c r="F28" s="25">
        <f t="shared" si="0"/>
        <v>813</v>
      </c>
      <c r="G28" s="25">
        <f t="shared" si="0"/>
        <v>1078</v>
      </c>
      <c r="H28" s="25">
        <f t="shared" si="0"/>
        <v>1156</v>
      </c>
      <c r="I28" s="25">
        <f t="shared" si="0"/>
        <v>1390</v>
      </c>
      <c r="J28" s="25">
        <f t="shared" si="0"/>
        <v>20618</v>
      </c>
    </row>
    <row r="29" spans="1:10" ht="26.5" customHeight="1" x14ac:dyDescent="0.35">
      <c r="A29" s="38" t="s">
        <v>144</v>
      </c>
      <c r="B29" s="39"/>
      <c r="C29" s="39"/>
      <c r="D29" s="39"/>
      <c r="E29" s="39"/>
      <c r="F29" s="39"/>
      <c r="G29" s="39"/>
      <c r="H29" s="39"/>
      <c r="I29" s="39"/>
      <c r="J29" s="39">
        <f>$B$5-J28</f>
        <v>29382</v>
      </c>
    </row>
  </sheetData>
  <mergeCells count="4">
    <mergeCell ref="A1:J1"/>
    <mergeCell ref="A2:J2"/>
    <mergeCell ref="A3:J3"/>
    <mergeCell ref="A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3"/>
  <sheetViews>
    <sheetView showGridLines="0" tabSelected="1" zoomScaleNormal="100" workbookViewId="0">
      <pane ySplit="4" topLeftCell="A82" activePane="bottomLeft" state="frozen"/>
      <selection pane="bottomLeft" activeCell="H90" sqref="H90"/>
    </sheetView>
  </sheetViews>
  <sheetFormatPr defaultColWidth="8.6328125" defaultRowHeight="13" outlineLevelCol="1" x14ac:dyDescent="0.3"/>
  <cols>
    <col min="1" max="1" width="15.08984375" style="113" customWidth="1"/>
    <col min="2" max="2" width="26.7265625" style="113" customWidth="1"/>
    <col min="3" max="3" width="47.453125" style="113" customWidth="1"/>
    <col min="4" max="4" width="9.7265625" style="113" customWidth="1"/>
    <col min="5" max="5" width="10" style="113" bestFit="1" customWidth="1"/>
    <col min="6" max="7" width="9.7265625" style="113" customWidth="1"/>
    <col min="8" max="8" width="14" style="113" customWidth="1"/>
    <col min="9" max="9" width="10" style="113" hidden="1" customWidth="1" outlineLevel="1"/>
    <col min="10" max="10" width="50.6328125" style="113" hidden="1" customWidth="1" outlineLevel="1"/>
    <col min="11" max="11" width="8.6328125" style="113" collapsed="1"/>
    <col min="12" max="16384" width="8.6328125" style="113"/>
  </cols>
  <sheetData>
    <row r="1" spans="1:10" ht="27.75" customHeight="1" x14ac:dyDescent="0.3">
      <c r="A1" s="115" t="s">
        <v>145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 ht="13.5" customHeight="1" x14ac:dyDescent="0.3">
      <c r="A2" s="116" t="s">
        <v>146</v>
      </c>
      <c r="B2" s="116"/>
      <c r="C2" s="116"/>
      <c r="D2" s="116"/>
      <c r="E2" s="116"/>
      <c r="F2" s="116"/>
      <c r="G2" s="116"/>
      <c r="H2" s="116"/>
      <c r="I2" s="116"/>
      <c r="J2" s="116"/>
    </row>
    <row r="3" spans="1:10" ht="12.75" customHeight="1" x14ac:dyDescent="0.3">
      <c r="A3" s="117" t="s">
        <v>147</v>
      </c>
      <c r="B3" s="117"/>
      <c r="C3" s="117"/>
      <c r="D3" s="117"/>
      <c r="E3" s="117"/>
      <c r="F3" s="117"/>
      <c r="G3" s="117"/>
      <c r="H3" s="117"/>
      <c r="I3" s="117"/>
      <c r="J3" s="117"/>
    </row>
    <row r="4" spans="1:10" ht="19.5" customHeight="1" x14ac:dyDescent="0.3">
      <c r="A4" s="118" t="s">
        <v>148</v>
      </c>
      <c r="B4" s="118" t="s">
        <v>149</v>
      </c>
      <c r="C4" s="118" t="s">
        <v>150</v>
      </c>
      <c r="D4" s="118" t="s">
        <v>151</v>
      </c>
      <c r="E4" s="118" t="s">
        <v>152</v>
      </c>
      <c r="F4" s="118" t="s">
        <v>153</v>
      </c>
      <c r="G4" s="118" t="s">
        <v>154</v>
      </c>
      <c r="H4" s="118" t="s">
        <v>155</v>
      </c>
      <c r="I4" s="118" t="s">
        <v>156</v>
      </c>
      <c r="J4" s="118" t="s">
        <v>10</v>
      </c>
    </row>
    <row r="5" spans="1:10" ht="18" customHeight="1" x14ac:dyDescent="0.3">
      <c r="A5" s="119" t="s">
        <v>157</v>
      </c>
      <c r="B5" s="119"/>
      <c r="C5" s="119"/>
      <c r="D5" s="119"/>
      <c r="E5" s="119"/>
      <c r="F5" s="119"/>
      <c r="G5" s="119"/>
      <c r="H5" s="119"/>
      <c r="I5" s="119"/>
      <c r="J5" s="119"/>
    </row>
    <row r="6" spans="1:10" ht="30" customHeight="1" x14ac:dyDescent="0.3">
      <c r="A6" s="120" t="s">
        <v>158</v>
      </c>
      <c r="B6" s="120" t="s">
        <v>159</v>
      </c>
      <c r="C6" s="120" t="s">
        <v>160</v>
      </c>
      <c r="D6" s="121" t="s">
        <v>161</v>
      </c>
      <c r="E6" s="121" t="s">
        <v>161</v>
      </c>
      <c r="F6" s="122" t="s">
        <v>161</v>
      </c>
      <c r="G6" s="122" t="s">
        <v>161</v>
      </c>
      <c r="H6" s="123" t="s">
        <v>56</v>
      </c>
      <c r="I6" s="124" t="s">
        <v>162</v>
      </c>
      <c r="J6" s="125" t="s">
        <v>163</v>
      </c>
    </row>
    <row r="7" spans="1:10" ht="30" customHeight="1" x14ac:dyDescent="0.3">
      <c r="A7" s="126" t="s">
        <v>158</v>
      </c>
      <c r="B7" s="126" t="s">
        <v>164</v>
      </c>
      <c r="C7" s="126" t="s">
        <v>165</v>
      </c>
      <c r="D7" s="127">
        <v>12500</v>
      </c>
      <c r="E7" s="127">
        <v>225000</v>
      </c>
      <c r="F7" s="128">
        <v>149</v>
      </c>
      <c r="G7" s="128">
        <v>2682</v>
      </c>
      <c r="H7" s="129" t="s">
        <v>56</v>
      </c>
      <c r="I7" s="130" t="s">
        <v>166</v>
      </c>
      <c r="J7" s="131" t="s">
        <v>167</v>
      </c>
    </row>
    <row r="8" spans="1:10" ht="30" customHeight="1" x14ac:dyDescent="0.3">
      <c r="A8" s="132" t="s">
        <v>158</v>
      </c>
      <c r="B8" s="132" t="s">
        <v>168</v>
      </c>
      <c r="C8" s="132" t="s">
        <v>169</v>
      </c>
      <c r="D8" s="133">
        <v>50000</v>
      </c>
      <c r="E8" s="133">
        <v>900000</v>
      </c>
      <c r="F8" s="134">
        <v>588</v>
      </c>
      <c r="G8" s="134">
        <v>10588</v>
      </c>
      <c r="H8" s="135" t="s">
        <v>56</v>
      </c>
      <c r="I8" s="136" t="s">
        <v>170</v>
      </c>
      <c r="J8" s="137" t="s">
        <v>171</v>
      </c>
    </row>
    <row r="9" spans="1:10" ht="30" customHeight="1" x14ac:dyDescent="0.3">
      <c r="A9" s="132" t="s">
        <v>158</v>
      </c>
      <c r="B9" s="132" t="s">
        <v>172</v>
      </c>
      <c r="C9" s="132" t="s">
        <v>173</v>
      </c>
      <c r="D9" s="133">
        <v>25000</v>
      </c>
      <c r="E9" s="133">
        <v>450000</v>
      </c>
      <c r="F9" s="134">
        <v>294</v>
      </c>
      <c r="G9" s="134">
        <v>5294</v>
      </c>
      <c r="H9" s="135" t="s">
        <v>56</v>
      </c>
      <c r="I9" s="136" t="s">
        <v>170</v>
      </c>
      <c r="J9" s="137" t="s">
        <v>174</v>
      </c>
    </row>
    <row r="10" spans="1:10" ht="30" customHeight="1" x14ac:dyDescent="0.3">
      <c r="A10" s="138" t="s">
        <v>158</v>
      </c>
      <c r="B10" s="138" t="s">
        <v>175</v>
      </c>
      <c r="C10" s="138" t="s">
        <v>176</v>
      </c>
      <c r="D10" s="139">
        <v>0</v>
      </c>
      <c r="E10" s="139">
        <v>0</v>
      </c>
      <c r="F10" s="140">
        <v>0</v>
      </c>
      <c r="G10" s="140">
        <v>0</v>
      </c>
      <c r="H10" s="141" t="s">
        <v>56</v>
      </c>
      <c r="I10" s="142" t="s">
        <v>166</v>
      </c>
      <c r="J10" s="143" t="s">
        <v>177</v>
      </c>
    </row>
    <row r="11" spans="1:10" ht="30" customHeight="1" x14ac:dyDescent="0.3">
      <c r="A11" s="126" t="s">
        <v>158</v>
      </c>
      <c r="B11" s="126" t="s">
        <v>178</v>
      </c>
      <c r="C11" s="126" t="s">
        <v>179</v>
      </c>
      <c r="D11" s="127">
        <v>0</v>
      </c>
      <c r="E11" s="127">
        <v>0</v>
      </c>
      <c r="F11" s="128">
        <v>0</v>
      </c>
      <c r="G11" s="128">
        <v>0</v>
      </c>
      <c r="H11" s="129" t="s">
        <v>56</v>
      </c>
      <c r="I11" s="130" t="s">
        <v>166</v>
      </c>
      <c r="J11" s="131" t="s">
        <v>180</v>
      </c>
    </row>
    <row r="12" spans="1:10" ht="15" customHeight="1" x14ac:dyDescent="0.3">
      <c r="A12" s="144" t="s">
        <v>181</v>
      </c>
      <c r="B12" s="144"/>
      <c r="C12" s="144"/>
      <c r="D12" s="145">
        <f>SUMIF(D6:D11,"&gt;0")</f>
        <v>87500</v>
      </c>
      <c r="E12" s="145">
        <f>SUMIF(E6:E11,"&gt;0")</f>
        <v>1575000</v>
      </c>
      <c r="F12" s="146">
        <f>SUMIF(F6:F11,"&gt;0")</f>
        <v>1031</v>
      </c>
      <c r="G12" s="146">
        <f>SUMIF(G6:G11,"&gt;0")</f>
        <v>18564</v>
      </c>
      <c r="H12" s="147"/>
      <c r="I12" s="147"/>
      <c r="J12" s="147"/>
    </row>
    <row r="13" spans="1:10" ht="18" customHeight="1" x14ac:dyDescent="0.3">
      <c r="A13" s="148" t="s">
        <v>182</v>
      </c>
      <c r="B13" s="148"/>
      <c r="C13" s="148"/>
      <c r="D13" s="148"/>
      <c r="E13" s="148"/>
      <c r="F13" s="148"/>
      <c r="G13" s="148"/>
      <c r="H13" s="148"/>
      <c r="I13" s="148"/>
      <c r="J13" s="148"/>
    </row>
    <row r="14" spans="1:10" ht="30" customHeight="1" x14ac:dyDescent="0.3">
      <c r="A14" s="149" t="s">
        <v>183</v>
      </c>
      <c r="B14" s="149" t="s">
        <v>184</v>
      </c>
      <c r="C14" s="149" t="s">
        <v>185</v>
      </c>
      <c r="D14" s="150" t="s">
        <v>161</v>
      </c>
      <c r="E14" s="150" t="s">
        <v>161</v>
      </c>
      <c r="F14" s="151" t="s">
        <v>161</v>
      </c>
      <c r="G14" s="151" t="s">
        <v>161</v>
      </c>
      <c r="H14" s="152" t="s">
        <v>14</v>
      </c>
      <c r="I14" s="153" t="s">
        <v>186</v>
      </c>
      <c r="J14" s="154" t="s">
        <v>187</v>
      </c>
    </row>
    <row r="15" spans="1:10" ht="30" customHeight="1" x14ac:dyDescent="0.3">
      <c r="A15" s="149" t="s">
        <v>183</v>
      </c>
      <c r="B15" s="149" t="s">
        <v>188</v>
      </c>
      <c r="C15" s="149" t="s">
        <v>189</v>
      </c>
      <c r="D15" s="150" t="s">
        <v>161</v>
      </c>
      <c r="E15" s="150" t="s">
        <v>161</v>
      </c>
      <c r="F15" s="151" t="s">
        <v>161</v>
      </c>
      <c r="G15" s="151" t="s">
        <v>161</v>
      </c>
      <c r="H15" s="152" t="s">
        <v>14</v>
      </c>
      <c r="I15" s="153" t="s">
        <v>186</v>
      </c>
      <c r="J15" s="154" t="s">
        <v>190</v>
      </c>
    </row>
    <row r="16" spans="1:10" ht="30" customHeight="1" x14ac:dyDescent="0.3">
      <c r="A16" s="149" t="s">
        <v>183</v>
      </c>
      <c r="B16" s="149" t="s">
        <v>191</v>
      </c>
      <c r="C16" s="149" t="s">
        <v>192</v>
      </c>
      <c r="D16" s="150" t="s">
        <v>161</v>
      </c>
      <c r="E16" s="150" t="s">
        <v>161</v>
      </c>
      <c r="F16" s="151" t="s">
        <v>161</v>
      </c>
      <c r="G16" s="151" t="s">
        <v>161</v>
      </c>
      <c r="H16" s="152" t="s">
        <v>14</v>
      </c>
      <c r="I16" s="153" t="s">
        <v>186</v>
      </c>
      <c r="J16" s="154" t="s">
        <v>193</v>
      </c>
    </row>
    <row r="17" spans="1:10" ht="30" customHeight="1" x14ac:dyDescent="0.3">
      <c r="A17" s="149" t="s">
        <v>183</v>
      </c>
      <c r="B17" s="149" t="s">
        <v>194</v>
      </c>
      <c r="C17" s="149" t="s">
        <v>195</v>
      </c>
      <c r="D17" s="150" t="s">
        <v>161</v>
      </c>
      <c r="E17" s="150" t="s">
        <v>161</v>
      </c>
      <c r="F17" s="151" t="s">
        <v>161</v>
      </c>
      <c r="G17" s="151" t="s">
        <v>161</v>
      </c>
      <c r="H17" s="152" t="s">
        <v>14</v>
      </c>
      <c r="I17" s="153" t="s">
        <v>186</v>
      </c>
      <c r="J17" s="154" t="s">
        <v>196</v>
      </c>
    </row>
    <row r="18" spans="1:10" ht="30" customHeight="1" x14ac:dyDescent="0.3">
      <c r="A18" s="149" t="s">
        <v>183</v>
      </c>
      <c r="B18" s="149" t="s">
        <v>197</v>
      </c>
      <c r="C18" s="149" t="s">
        <v>198</v>
      </c>
      <c r="D18" s="150" t="s">
        <v>161</v>
      </c>
      <c r="E18" s="150" t="s">
        <v>161</v>
      </c>
      <c r="F18" s="151" t="s">
        <v>161</v>
      </c>
      <c r="G18" s="151" t="s">
        <v>161</v>
      </c>
      <c r="H18" s="152" t="s">
        <v>14</v>
      </c>
      <c r="I18" s="153" t="s">
        <v>186</v>
      </c>
      <c r="J18" s="154" t="s">
        <v>199</v>
      </c>
    </row>
    <row r="19" spans="1:10" ht="15" customHeight="1" x14ac:dyDescent="0.3">
      <c r="A19" s="144" t="s">
        <v>200</v>
      </c>
      <c r="B19" s="144"/>
      <c r="C19" s="144"/>
      <c r="D19" s="145">
        <f>SUMIF(D14:D18,"&gt;0")</f>
        <v>0</v>
      </c>
      <c r="E19" s="145">
        <f>SUMIF(E14:E18,"&gt;0")</f>
        <v>0</v>
      </c>
      <c r="F19" s="146">
        <f>SUMIF(F14:F18,"&gt;0")</f>
        <v>0</v>
      </c>
      <c r="G19" s="146">
        <f>SUMIF(G14:G18,"&gt;0")</f>
        <v>0</v>
      </c>
      <c r="H19" s="147"/>
      <c r="I19" s="147"/>
      <c r="J19" s="147"/>
    </row>
    <row r="20" spans="1:10" ht="18" customHeight="1" x14ac:dyDescent="0.3">
      <c r="A20" s="148" t="s">
        <v>201</v>
      </c>
      <c r="B20" s="148"/>
      <c r="C20" s="148"/>
      <c r="D20" s="148"/>
      <c r="E20" s="148"/>
      <c r="F20" s="148"/>
      <c r="G20" s="148"/>
      <c r="H20" s="148"/>
      <c r="I20" s="148"/>
      <c r="J20" s="148"/>
    </row>
    <row r="21" spans="1:10" ht="30" customHeight="1" x14ac:dyDescent="0.3">
      <c r="A21" s="149" t="s">
        <v>202</v>
      </c>
      <c r="B21" s="149" t="s">
        <v>203</v>
      </c>
      <c r="C21" s="149" t="s">
        <v>204</v>
      </c>
      <c r="D21" s="150" t="s">
        <v>161</v>
      </c>
      <c r="E21" s="150" t="s">
        <v>161</v>
      </c>
      <c r="F21" s="151" t="s">
        <v>161</v>
      </c>
      <c r="G21" s="151" t="s">
        <v>161</v>
      </c>
      <c r="H21" s="152" t="s">
        <v>14</v>
      </c>
      <c r="I21" s="153" t="s">
        <v>186</v>
      </c>
      <c r="J21" s="154" t="s">
        <v>205</v>
      </c>
    </row>
    <row r="22" spans="1:10" ht="30" customHeight="1" x14ac:dyDescent="0.3">
      <c r="A22" s="149" t="s">
        <v>202</v>
      </c>
      <c r="B22" s="149" t="s">
        <v>206</v>
      </c>
      <c r="C22" s="149" t="s">
        <v>207</v>
      </c>
      <c r="D22" s="150" t="s">
        <v>161</v>
      </c>
      <c r="E22" s="150" t="s">
        <v>161</v>
      </c>
      <c r="F22" s="151" t="s">
        <v>161</v>
      </c>
      <c r="G22" s="151" t="s">
        <v>161</v>
      </c>
      <c r="H22" s="152" t="s">
        <v>14</v>
      </c>
      <c r="I22" s="153" t="s">
        <v>186</v>
      </c>
      <c r="J22" s="154" t="s">
        <v>208</v>
      </c>
    </row>
    <row r="23" spans="1:10" ht="30" customHeight="1" x14ac:dyDescent="0.3">
      <c r="A23" s="149" t="s">
        <v>202</v>
      </c>
      <c r="B23" s="149" t="s">
        <v>209</v>
      </c>
      <c r="C23" s="149" t="s">
        <v>210</v>
      </c>
      <c r="D23" s="150" t="s">
        <v>161</v>
      </c>
      <c r="E23" s="150" t="s">
        <v>161</v>
      </c>
      <c r="F23" s="151" t="s">
        <v>161</v>
      </c>
      <c r="G23" s="151" t="s">
        <v>161</v>
      </c>
      <c r="H23" s="152" t="s">
        <v>14</v>
      </c>
      <c r="I23" s="153" t="s">
        <v>186</v>
      </c>
      <c r="J23" s="154" t="s">
        <v>211</v>
      </c>
    </row>
    <row r="24" spans="1:10" ht="30" customHeight="1" x14ac:dyDescent="0.3">
      <c r="A24" s="149" t="s">
        <v>202</v>
      </c>
      <c r="B24" s="149" t="s">
        <v>212</v>
      </c>
      <c r="C24" s="149" t="s">
        <v>213</v>
      </c>
      <c r="D24" s="150" t="s">
        <v>161</v>
      </c>
      <c r="E24" s="150" t="s">
        <v>161</v>
      </c>
      <c r="F24" s="151" t="s">
        <v>161</v>
      </c>
      <c r="G24" s="151" t="s">
        <v>161</v>
      </c>
      <c r="H24" s="152" t="s">
        <v>14</v>
      </c>
      <c r="I24" s="153" t="s">
        <v>186</v>
      </c>
      <c r="J24" s="154" t="s">
        <v>214</v>
      </c>
    </row>
    <row r="25" spans="1:10" ht="30" customHeight="1" x14ac:dyDescent="0.3">
      <c r="A25" s="149" t="s">
        <v>202</v>
      </c>
      <c r="B25" s="149" t="s">
        <v>130</v>
      </c>
      <c r="C25" s="149" t="s">
        <v>215</v>
      </c>
      <c r="D25" s="150" t="s">
        <v>161</v>
      </c>
      <c r="E25" s="150" t="s">
        <v>161</v>
      </c>
      <c r="F25" s="151" t="s">
        <v>161</v>
      </c>
      <c r="G25" s="151" t="s">
        <v>161</v>
      </c>
      <c r="H25" s="152" t="s">
        <v>14</v>
      </c>
      <c r="I25" s="153" t="s">
        <v>186</v>
      </c>
      <c r="J25" s="154" t="s">
        <v>216</v>
      </c>
    </row>
    <row r="26" spans="1:10" ht="30" customHeight="1" x14ac:dyDescent="0.3">
      <c r="A26" s="149" t="s">
        <v>202</v>
      </c>
      <c r="B26" s="149" t="s">
        <v>134</v>
      </c>
      <c r="C26" s="149" t="s">
        <v>217</v>
      </c>
      <c r="D26" s="150" t="s">
        <v>161</v>
      </c>
      <c r="E26" s="150" t="s">
        <v>161</v>
      </c>
      <c r="F26" s="151" t="s">
        <v>161</v>
      </c>
      <c r="G26" s="151" t="s">
        <v>161</v>
      </c>
      <c r="H26" s="152" t="s">
        <v>14</v>
      </c>
      <c r="I26" s="153" t="s">
        <v>186</v>
      </c>
      <c r="J26" s="154" t="s">
        <v>218</v>
      </c>
    </row>
    <row r="27" spans="1:10" ht="30" customHeight="1" x14ac:dyDescent="0.3">
      <c r="A27" s="149" t="s">
        <v>202</v>
      </c>
      <c r="B27" s="149" t="s">
        <v>219</v>
      </c>
      <c r="C27" s="149" t="s">
        <v>220</v>
      </c>
      <c r="D27" s="150" t="s">
        <v>161</v>
      </c>
      <c r="E27" s="150" t="s">
        <v>161</v>
      </c>
      <c r="F27" s="151" t="s">
        <v>161</v>
      </c>
      <c r="G27" s="151" t="s">
        <v>161</v>
      </c>
      <c r="H27" s="152" t="s">
        <v>14</v>
      </c>
      <c r="I27" s="153" t="s">
        <v>186</v>
      </c>
      <c r="J27" s="154" t="s">
        <v>221</v>
      </c>
    </row>
    <row r="28" spans="1:10" ht="30" customHeight="1" x14ac:dyDescent="0.3">
      <c r="A28" s="149" t="s">
        <v>202</v>
      </c>
      <c r="B28" s="149" t="s">
        <v>135</v>
      </c>
      <c r="C28" s="149" t="s">
        <v>222</v>
      </c>
      <c r="D28" s="150" t="s">
        <v>161</v>
      </c>
      <c r="E28" s="150" t="s">
        <v>161</v>
      </c>
      <c r="F28" s="151" t="s">
        <v>161</v>
      </c>
      <c r="G28" s="151" t="s">
        <v>161</v>
      </c>
      <c r="H28" s="152" t="s">
        <v>14</v>
      </c>
      <c r="I28" s="153" t="s">
        <v>186</v>
      </c>
      <c r="J28" s="154" t="s">
        <v>223</v>
      </c>
    </row>
    <row r="29" spans="1:10" ht="15" customHeight="1" x14ac:dyDescent="0.3">
      <c r="A29" s="144" t="s">
        <v>224</v>
      </c>
      <c r="B29" s="144"/>
      <c r="C29" s="144"/>
      <c r="D29" s="145">
        <f>SUMIF(D21:D28,"&gt;0")</f>
        <v>0</v>
      </c>
      <c r="E29" s="145">
        <f>SUMIF(E21:E28,"&gt;0")</f>
        <v>0</v>
      </c>
      <c r="F29" s="146">
        <f>SUMIF(F21:F28,"&gt;0")</f>
        <v>0</v>
      </c>
      <c r="G29" s="146">
        <f>SUMIF(G21:G28,"&gt;0")</f>
        <v>0</v>
      </c>
      <c r="H29" s="147"/>
      <c r="I29" s="147"/>
      <c r="J29" s="147"/>
    </row>
    <row r="30" spans="1:10" ht="18" customHeight="1" x14ac:dyDescent="0.3">
      <c r="A30" s="148" t="s">
        <v>225</v>
      </c>
      <c r="B30" s="148"/>
      <c r="C30" s="148"/>
      <c r="D30" s="148"/>
      <c r="E30" s="148"/>
      <c r="F30" s="148"/>
      <c r="G30" s="148"/>
      <c r="H30" s="148"/>
      <c r="I30" s="148"/>
      <c r="J30" s="148"/>
    </row>
    <row r="31" spans="1:10" ht="30" customHeight="1" x14ac:dyDescent="0.3">
      <c r="A31" s="149" t="s">
        <v>226</v>
      </c>
      <c r="B31" s="149" t="s">
        <v>227</v>
      </c>
      <c r="C31" s="149" t="s">
        <v>228</v>
      </c>
      <c r="D31" s="150" t="s">
        <v>161</v>
      </c>
      <c r="E31" s="150" t="s">
        <v>161</v>
      </c>
      <c r="F31" s="151" t="s">
        <v>161</v>
      </c>
      <c r="G31" s="151" t="s">
        <v>161</v>
      </c>
      <c r="H31" s="152" t="s">
        <v>14</v>
      </c>
      <c r="I31" s="153" t="s">
        <v>186</v>
      </c>
      <c r="J31" s="154" t="s">
        <v>229</v>
      </c>
    </row>
    <row r="32" spans="1:10" ht="30" customHeight="1" x14ac:dyDescent="0.3">
      <c r="A32" s="149" t="s">
        <v>226</v>
      </c>
      <c r="B32" s="149" t="s">
        <v>230</v>
      </c>
      <c r="C32" s="149" t="s">
        <v>231</v>
      </c>
      <c r="D32" s="150" t="s">
        <v>161</v>
      </c>
      <c r="E32" s="150" t="s">
        <v>161</v>
      </c>
      <c r="F32" s="151" t="s">
        <v>161</v>
      </c>
      <c r="G32" s="151" t="s">
        <v>161</v>
      </c>
      <c r="H32" s="152" t="s">
        <v>14</v>
      </c>
      <c r="I32" s="153" t="s">
        <v>186</v>
      </c>
      <c r="J32" s="154" t="s">
        <v>232</v>
      </c>
    </row>
    <row r="33" spans="1:10" ht="15" customHeight="1" x14ac:dyDescent="0.3">
      <c r="A33" s="144" t="s">
        <v>233</v>
      </c>
      <c r="B33" s="144"/>
      <c r="C33" s="144"/>
      <c r="D33" s="145">
        <f>SUMIF(D31:D32,"&gt;0")</f>
        <v>0</v>
      </c>
      <c r="E33" s="145">
        <f>SUMIF(E31:E32,"&gt;0")</f>
        <v>0</v>
      </c>
      <c r="F33" s="146">
        <f>SUMIF(F31:F32,"&gt;0")</f>
        <v>0</v>
      </c>
      <c r="G33" s="146">
        <f>SUMIF(G31:G32,"&gt;0")</f>
        <v>0</v>
      </c>
      <c r="H33" s="147"/>
      <c r="I33" s="147"/>
      <c r="J33" s="147"/>
    </row>
    <row r="34" spans="1:10" ht="18" customHeight="1" x14ac:dyDescent="0.3">
      <c r="A34" s="148" t="s">
        <v>234</v>
      </c>
      <c r="B34" s="148"/>
      <c r="C34" s="148"/>
      <c r="D34" s="148"/>
      <c r="E34" s="148"/>
      <c r="F34" s="148"/>
      <c r="G34" s="148"/>
      <c r="H34" s="148"/>
      <c r="I34" s="148"/>
      <c r="J34" s="148"/>
    </row>
    <row r="35" spans="1:10" ht="30" customHeight="1" x14ac:dyDescent="0.3">
      <c r="A35" s="149" t="s">
        <v>235</v>
      </c>
      <c r="B35" s="149" t="s">
        <v>236</v>
      </c>
      <c r="C35" s="149" t="s">
        <v>237</v>
      </c>
      <c r="D35" s="150" t="s">
        <v>161</v>
      </c>
      <c r="E35" s="150" t="s">
        <v>161</v>
      </c>
      <c r="F35" s="151" t="s">
        <v>161</v>
      </c>
      <c r="G35" s="151" t="s">
        <v>161</v>
      </c>
      <c r="H35" s="152" t="s">
        <v>14</v>
      </c>
      <c r="I35" s="153" t="s">
        <v>186</v>
      </c>
      <c r="J35" s="154" t="s">
        <v>238</v>
      </c>
    </row>
    <row r="36" spans="1:10" ht="30" customHeight="1" x14ac:dyDescent="0.3">
      <c r="A36" s="149" t="s">
        <v>235</v>
      </c>
      <c r="B36" s="149" t="s">
        <v>239</v>
      </c>
      <c r="C36" s="149" t="s">
        <v>240</v>
      </c>
      <c r="D36" s="150" t="s">
        <v>161</v>
      </c>
      <c r="E36" s="150" t="s">
        <v>161</v>
      </c>
      <c r="F36" s="151" t="s">
        <v>161</v>
      </c>
      <c r="G36" s="151" t="s">
        <v>161</v>
      </c>
      <c r="H36" s="152" t="s">
        <v>14</v>
      </c>
      <c r="I36" s="153" t="s">
        <v>186</v>
      </c>
      <c r="J36" s="154" t="s">
        <v>241</v>
      </c>
    </row>
    <row r="37" spans="1:10" ht="30" customHeight="1" x14ac:dyDescent="0.3">
      <c r="A37" s="149" t="s">
        <v>235</v>
      </c>
      <c r="B37" s="149" t="s">
        <v>242</v>
      </c>
      <c r="C37" s="149" t="s">
        <v>243</v>
      </c>
      <c r="D37" s="150" t="s">
        <v>161</v>
      </c>
      <c r="E37" s="150" t="s">
        <v>161</v>
      </c>
      <c r="F37" s="151" t="s">
        <v>161</v>
      </c>
      <c r="G37" s="151" t="s">
        <v>161</v>
      </c>
      <c r="H37" s="152" t="s">
        <v>14</v>
      </c>
      <c r="I37" s="153" t="s">
        <v>186</v>
      </c>
      <c r="J37" s="154" t="s">
        <v>244</v>
      </c>
    </row>
    <row r="38" spans="1:10" ht="15" customHeight="1" x14ac:dyDescent="0.3">
      <c r="A38" s="144" t="s">
        <v>245</v>
      </c>
      <c r="B38" s="144"/>
      <c r="C38" s="144"/>
      <c r="D38" s="145">
        <f>SUMIF(D35:D37,"&gt;0")</f>
        <v>0</v>
      </c>
      <c r="E38" s="145">
        <f>SUMIF(E35:E37,"&gt;0")</f>
        <v>0</v>
      </c>
      <c r="F38" s="146">
        <f>SUMIF(F35:F37,"&gt;0")</f>
        <v>0</v>
      </c>
      <c r="G38" s="146">
        <f>SUMIF(G35:G37,"&gt;0")</f>
        <v>0</v>
      </c>
      <c r="H38" s="147"/>
      <c r="I38" s="147"/>
      <c r="J38" s="147"/>
    </row>
    <row r="39" spans="1:10" ht="18" customHeight="1" x14ac:dyDescent="0.3">
      <c r="A39" s="119" t="s">
        <v>246</v>
      </c>
      <c r="B39" s="119"/>
      <c r="C39" s="119"/>
      <c r="D39" s="119"/>
      <c r="E39" s="119"/>
      <c r="F39" s="119"/>
      <c r="G39" s="119"/>
      <c r="H39" s="119"/>
      <c r="I39" s="119"/>
      <c r="J39" s="119"/>
    </row>
    <row r="40" spans="1:10" ht="30" customHeight="1" x14ac:dyDescent="0.3">
      <c r="A40" s="126" t="s">
        <v>247</v>
      </c>
      <c r="B40" s="126" t="s">
        <v>248</v>
      </c>
      <c r="C40" s="126" t="s">
        <v>249</v>
      </c>
      <c r="D40" s="127">
        <v>2125</v>
      </c>
      <c r="E40" s="127">
        <v>106250</v>
      </c>
      <c r="F40" s="128">
        <v>25</v>
      </c>
      <c r="G40" s="128">
        <v>1250</v>
      </c>
      <c r="H40" s="129" t="s">
        <v>56</v>
      </c>
      <c r="I40" s="130" t="s">
        <v>166</v>
      </c>
      <c r="J40" s="131" t="s">
        <v>250</v>
      </c>
    </row>
    <row r="41" spans="1:10" ht="30" customHeight="1" x14ac:dyDescent="0.3">
      <c r="A41" s="120" t="s">
        <v>247</v>
      </c>
      <c r="B41" s="120" t="s">
        <v>251</v>
      </c>
      <c r="C41" s="120" t="s">
        <v>252</v>
      </c>
      <c r="D41" s="155">
        <v>50915</v>
      </c>
      <c r="E41" s="155">
        <v>662895</v>
      </c>
      <c r="F41" s="156">
        <v>599</v>
      </c>
      <c r="G41" s="156">
        <v>7787</v>
      </c>
      <c r="H41" s="123" t="s">
        <v>56</v>
      </c>
      <c r="I41" s="124" t="s">
        <v>253</v>
      </c>
      <c r="J41" s="125" t="s">
        <v>254</v>
      </c>
    </row>
    <row r="42" spans="1:10" ht="30" customHeight="1" x14ac:dyDescent="0.3">
      <c r="A42" s="138" t="s">
        <v>247</v>
      </c>
      <c r="B42" s="138" t="s">
        <v>255</v>
      </c>
      <c r="C42" s="138" t="s">
        <v>256</v>
      </c>
      <c r="D42" s="139">
        <v>1690</v>
      </c>
      <c r="E42" s="139">
        <v>30420</v>
      </c>
      <c r="F42" s="140">
        <v>20</v>
      </c>
      <c r="G42" s="140">
        <v>360</v>
      </c>
      <c r="H42" s="141" t="s">
        <v>56</v>
      </c>
      <c r="I42" s="142" t="s">
        <v>166</v>
      </c>
      <c r="J42" s="143" t="s">
        <v>257</v>
      </c>
    </row>
    <row r="43" spans="1:10" ht="30" customHeight="1" x14ac:dyDescent="0.3">
      <c r="A43" s="126" t="s">
        <v>247</v>
      </c>
      <c r="B43" s="126" t="s">
        <v>258</v>
      </c>
      <c r="C43" s="126" t="s">
        <v>259</v>
      </c>
      <c r="D43" s="127">
        <v>1352</v>
      </c>
      <c r="E43" s="127">
        <v>24336</v>
      </c>
      <c r="F43" s="128">
        <v>16</v>
      </c>
      <c r="G43" s="128">
        <v>288</v>
      </c>
      <c r="H43" s="129" t="s">
        <v>56</v>
      </c>
      <c r="I43" s="130" t="s">
        <v>166</v>
      </c>
      <c r="J43" s="131" t="s">
        <v>260</v>
      </c>
    </row>
    <row r="44" spans="1:10" ht="30" customHeight="1" x14ac:dyDescent="0.3">
      <c r="A44" s="138" t="s">
        <v>247</v>
      </c>
      <c r="B44" s="138" t="s">
        <v>261</v>
      </c>
      <c r="C44" s="138" t="s">
        <v>262</v>
      </c>
      <c r="D44" s="139">
        <v>1268</v>
      </c>
      <c r="E44" s="139">
        <v>22824</v>
      </c>
      <c r="F44" s="140">
        <v>15</v>
      </c>
      <c r="G44" s="140">
        <v>270</v>
      </c>
      <c r="H44" s="141" t="s">
        <v>56</v>
      </c>
      <c r="I44" s="142" t="s">
        <v>166</v>
      </c>
      <c r="J44" s="143" t="s">
        <v>263</v>
      </c>
    </row>
    <row r="45" spans="1:10" ht="30" customHeight="1" x14ac:dyDescent="0.3">
      <c r="A45" s="126" t="s">
        <v>247</v>
      </c>
      <c r="B45" s="126" t="s">
        <v>264</v>
      </c>
      <c r="C45" s="126" t="s">
        <v>265</v>
      </c>
      <c r="D45" s="127">
        <v>0</v>
      </c>
      <c r="E45" s="127">
        <v>0</v>
      </c>
      <c r="F45" s="128">
        <v>0</v>
      </c>
      <c r="G45" s="128">
        <v>0</v>
      </c>
      <c r="H45" s="129" t="s">
        <v>56</v>
      </c>
      <c r="I45" s="130" t="s">
        <v>166</v>
      </c>
      <c r="J45" s="131" t="s">
        <v>266</v>
      </c>
    </row>
    <row r="46" spans="1:10" ht="30" customHeight="1" x14ac:dyDescent="0.3">
      <c r="A46" s="138" t="s">
        <v>247</v>
      </c>
      <c r="B46" s="138" t="s">
        <v>267</v>
      </c>
      <c r="C46" s="138" t="s">
        <v>268</v>
      </c>
      <c r="D46" s="139">
        <v>0</v>
      </c>
      <c r="E46" s="139">
        <v>0</v>
      </c>
      <c r="F46" s="140">
        <v>0</v>
      </c>
      <c r="G46" s="140">
        <v>0</v>
      </c>
      <c r="H46" s="141" t="s">
        <v>56</v>
      </c>
      <c r="I46" s="142" t="s">
        <v>166</v>
      </c>
      <c r="J46" s="143" t="s">
        <v>269</v>
      </c>
    </row>
    <row r="47" spans="1:10" ht="30" customHeight="1" x14ac:dyDescent="0.3">
      <c r="A47" s="126" t="s">
        <v>247</v>
      </c>
      <c r="B47" s="126" t="s">
        <v>270</v>
      </c>
      <c r="C47" s="126" t="s">
        <v>271</v>
      </c>
      <c r="D47" s="127">
        <v>2000</v>
      </c>
      <c r="E47" s="127">
        <v>36000</v>
      </c>
      <c r="F47" s="128">
        <v>24</v>
      </c>
      <c r="G47" s="128">
        <v>424</v>
      </c>
      <c r="H47" s="129" t="s">
        <v>56</v>
      </c>
      <c r="I47" s="130" t="s">
        <v>166</v>
      </c>
      <c r="J47" s="131" t="s">
        <v>272</v>
      </c>
    </row>
    <row r="48" spans="1:10" ht="15" customHeight="1" x14ac:dyDescent="0.3">
      <c r="A48" s="144" t="s">
        <v>273</v>
      </c>
      <c r="B48" s="144"/>
      <c r="C48" s="144"/>
      <c r="D48" s="145">
        <f>SUMIF(D40:D47,"&gt;0")</f>
        <v>59350</v>
      </c>
      <c r="E48" s="145">
        <f>SUMIF(E40:E47,"&gt;0")</f>
        <v>882725</v>
      </c>
      <c r="F48" s="146">
        <f>SUMIF(F40:F47,"&gt;0")</f>
        <v>699</v>
      </c>
      <c r="G48" s="146">
        <f>SUMIF(G40:G47,"&gt;0")</f>
        <v>10379</v>
      </c>
      <c r="H48" s="147"/>
      <c r="I48" s="147"/>
      <c r="J48" s="147"/>
    </row>
    <row r="49" spans="1:10" ht="18" customHeight="1" x14ac:dyDescent="0.3">
      <c r="A49" s="119" t="s">
        <v>274</v>
      </c>
      <c r="B49" s="119"/>
      <c r="C49" s="119"/>
      <c r="D49" s="119"/>
      <c r="E49" s="119"/>
      <c r="F49" s="119"/>
      <c r="G49" s="119"/>
      <c r="H49" s="119"/>
      <c r="I49" s="119"/>
      <c r="J49" s="119"/>
    </row>
    <row r="50" spans="1:10" ht="30" customHeight="1" x14ac:dyDescent="0.3">
      <c r="A50" s="126" t="s">
        <v>275</v>
      </c>
      <c r="B50" s="126" t="s">
        <v>276</v>
      </c>
      <c r="C50" s="126" t="s">
        <v>277</v>
      </c>
      <c r="D50" s="127">
        <v>0</v>
      </c>
      <c r="E50" s="127">
        <v>500000</v>
      </c>
      <c r="F50" s="128">
        <v>0</v>
      </c>
      <c r="G50" s="128">
        <v>5882</v>
      </c>
      <c r="H50" s="129" t="s">
        <v>56</v>
      </c>
      <c r="I50" s="130" t="s">
        <v>166</v>
      </c>
      <c r="J50" s="131" t="s">
        <v>278</v>
      </c>
    </row>
    <row r="51" spans="1:10" ht="30" customHeight="1" x14ac:dyDescent="0.3">
      <c r="A51" s="138" t="s">
        <v>275</v>
      </c>
      <c r="B51" s="138" t="s">
        <v>279</v>
      </c>
      <c r="C51" s="138" t="s">
        <v>280</v>
      </c>
      <c r="D51" s="139">
        <v>0</v>
      </c>
      <c r="E51" s="139">
        <v>350000</v>
      </c>
      <c r="F51" s="140">
        <v>0</v>
      </c>
      <c r="G51" s="140">
        <v>4118</v>
      </c>
      <c r="H51" s="141" t="s">
        <v>56</v>
      </c>
      <c r="I51" s="142" t="s">
        <v>166</v>
      </c>
      <c r="J51" s="143" t="s">
        <v>278</v>
      </c>
    </row>
    <row r="52" spans="1:10" ht="30" customHeight="1" x14ac:dyDescent="0.3">
      <c r="A52" s="126" t="s">
        <v>275</v>
      </c>
      <c r="B52" s="126" t="s">
        <v>281</v>
      </c>
      <c r="C52" s="126" t="s">
        <v>282</v>
      </c>
      <c r="D52" s="127">
        <v>0</v>
      </c>
      <c r="E52" s="127">
        <v>250000</v>
      </c>
      <c r="F52" s="128">
        <v>0</v>
      </c>
      <c r="G52" s="128">
        <v>2941</v>
      </c>
      <c r="H52" s="129" t="s">
        <v>56</v>
      </c>
      <c r="I52" s="130" t="s">
        <v>166</v>
      </c>
      <c r="J52" s="131" t="s">
        <v>278</v>
      </c>
    </row>
    <row r="53" spans="1:10" ht="30" customHeight="1" x14ac:dyDescent="0.3">
      <c r="A53" s="138" t="s">
        <v>275</v>
      </c>
      <c r="B53" s="138" t="s">
        <v>283</v>
      </c>
      <c r="C53" s="138" t="s">
        <v>284</v>
      </c>
      <c r="D53" s="139">
        <v>0</v>
      </c>
      <c r="E53" s="139">
        <v>100000</v>
      </c>
      <c r="F53" s="140">
        <v>0</v>
      </c>
      <c r="G53" s="140">
        <v>1176</v>
      </c>
      <c r="H53" s="141" t="s">
        <v>56</v>
      </c>
      <c r="I53" s="142" t="s">
        <v>166</v>
      </c>
      <c r="J53" s="143" t="s">
        <v>278</v>
      </c>
    </row>
    <row r="54" spans="1:10" ht="30" customHeight="1" x14ac:dyDescent="0.3">
      <c r="A54" s="126" t="s">
        <v>275</v>
      </c>
      <c r="B54" s="126" t="s">
        <v>285</v>
      </c>
      <c r="C54" s="126" t="s">
        <v>286</v>
      </c>
      <c r="D54" s="127">
        <v>25000</v>
      </c>
      <c r="E54" s="127">
        <v>450000</v>
      </c>
      <c r="F54" s="128">
        <v>294</v>
      </c>
      <c r="G54" s="128">
        <v>5294</v>
      </c>
      <c r="H54" s="129" t="s">
        <v>56</v>
      </c>
      <c r="I54" s="130" t="s">
        <v>166</v>
      </c>
      <c r="J54" s="131" t="s">
        <v>272</v>
      </c>
    </row>
    <row r="55" spans="1:10" ht="30" customHeight="1" x14ac:dyDescent="0.3">
      <c r="A55" s="138" t="s">
        <v>275</v>
      </c>
      <c r="B55" s="138" t="s">
        <v>287</v>
      </c>
      <c r="C55" s="138" t="s">
        <v>288</v>
      </c>
      <c r="D55" s="139">
        <v>17500</v>
      </c>
      <c r="E55" s="139">
        <v>315000</v>
      </c>
      <c r="F55" s="140">
        <v>206</v>
      </c>
      <c r="G55" s="140">
        <v>3706</v>
      </c>
      <c r="H55" s="141" t="s">
        <v>56</v>
      </c>
      <c r="I55" s="142" t="s">
        <v>166</v>
      </c>
      <c r="J55" s="143" t="s">
        <v>289</v>
      </c>
    </row>
    <row r="56" spans="1:10" ht="30" customHeight="1" x14ac:dyDescent="0.3">
      <c r="A56" s="149" t="s">
        <v>275</v>
      </c>
      <c r="B56" s="149" t="s">
        <v>290</v>
      </c>
      <c r="C56" s="149" t="s">
        <v>291</v>
      </c>
      <c r="D56" s="150" t="s">
        <v>161</v>
      </c>
      <c r="E56" s="157">
        <v>75000</v>
      </c>
      <c r="F56" s="151" t="s">
        <v>161</v>
      </c>
      <c r="G56" s="158">
        <v>882</v>
      </c>
      <c r="H56" s="152" t="s">
        <v>14</v>
      </c>
      <c r="I56" s="153" t="s">
        <v>186</v>
      </c>
      <c r="J56" s="154" t="s">
        <v>292</v>
      </c>
    </row>
    <row r="57" spans="1:10" ht="15" customHeight="1" x14ac:dyDescent="0.3">
      <c r="A57" s="144" t="s">
        <v>293</v>
      </c>
      <c r="B57" s="144"/>
      <c r="C57" s="144"/>
      <c r="D57" s="145">
        <f>SUMIF(D50:D56,"&gt;0")</f>
        <v>42500</v>
      </c>
      <c r="E57" s="145">
        <f>SUMIF(E50:E56,"&gt;0")</f>
        <v>2040000</v>
      </c>
      <c r="F57" s="146">
        <f>SUMIF(F50:F56,"&gt;0")</f>
        <v>500</v>
      </c>
      <c r="G57" s="146">
        <f>SUMIF(G50:G56,"&gt;0")</f>
        <v>23999</v>
      </c>
      <c r="H57" s="147"/>
      <c r="I57" s="147"/>
      <c r="J57" s="147"/>
    </row>
    <row r="58" spans="1:10" ht="18" customHeight="1" x14ac:dyDescent="0.3">
      <c r="A58" s="119" t="s">
        <v>294</v>
      </c>
      <c r="B58" s="119"/>
      <c r="C58" s="119"/>
      <c r="D58" s="119"/>
      <c r="E58" s="119"/>
      <c r="F58" s="119"/>
      <c r="G58" s="119"/>
      <c r="H58" s="119"/>
      <c r="I58" s="119"/>
      <c r="J58" s="119"/>
    </row>
    <row r="59" spans="1:10" ht="30" customHeight="1" x14ac:dyDescent="0.3">
      <c r="A59" s="126" t="s">
        <v>295</v>
      </c>
      <c r="B59" s="126" t="s">
        <v>296</v>
      </c>
      <c r="C59" s="126" t="s">
        <v>297</v>
      </c>
      <c r="D59" s="127">
        <v>0</v>
      </c>
      <c r="E59" s="127">
        <v>783000</v>
      </c>
      <c r="F59" s="128">
        <v>0</v>
      </c>
      <c r="G59" s="128">
        <v>9212</v>
      </c>
      <c r="H59" s="129" t="s">
        <v>56</v>
      </c>
      <c r="I59" s="130" t="s">
        <v>166</v>
      </c>
      <c r="J59" s="131" t="s">
        <v>298</v>
      </c>
    </row>
    <row r="60" spans="1:10" ht="30" customHeight="1" x14ac:dyDescent="0.3">
      <c r="A60" s="138" t="s">
        <v>295</v>
      </c>
      <c r="B60" s="138" t="s">
        <v>299</v>
      </c>
      <c r="C60" s="138" t="s">
        <v>300</v>
      </c>
      <c r="D60" s="139">
        <v>0</v>
      </c>
      <c r="E60" s="139">
        <v>400000</v>
      </c>
      <c r="F60" s="140">
        <v>0</v>
      </c>
      <c r="G60" s="140">
        <v>4706</v>
      </c>
      <c r="H60" s="141" t="s">
        <v>56</v>
      </c>
      <c r="I60" s="142" t="s">
        <v>166</v>
      </c>
      <c r="J60" s="143" t="s">
        <v>298</v>
      </c>
    </row>
    <row r="61" spans="1:10" ht="30" customHeight="1" x14ac:dyDescent="0.3">
      <c r="A61" s="126" t="s">
        <v>295</v>
      </c>
      <c r="B61" s="126" t="s">
        <v>301</v>
      </c>
      <c r="C61" s="126" t="s">
        <v>302</v>
      </c>
      <c r="D61" s="127">
        <v>0</v>
      </c>
      <c r="E61" s="127">
        <v>450000</v>
      </c>
      <c r="F61" s="128">
        <v>0</v>
      </c>
      <c r="G61" s="128">
        <v>5294</v>
      </c>
      <c r="H61" s="129" t="s">
        <v>56</v>
      </c>
      <c r="I61" s="130" t="s">
        <v>166</v>
      </c>
      <c r="J61" s="131" t="s">
        <v>303</v>
      </c>
    </row>
    <row r="62" spans="1:10" ht="30" customHeight="1" x14ac:dyDescent="0.3">
      <c r="A62" s="138" t="s">
        <v>295</v>
      </c>
      <c r="B62" s="138" t="s">
        <v>304</v>
      </c>
      <c r="C62" s="138" t="s">
        <v>305</v>
      </c>
      <c r="D62" s="139">
        <v>0</v>
      </c>
      <c r="E62" s="139">
        <v>200000</v>
      </c>
      <c r="F62" s="140">
        <v>0</v>
      </c>
      <c r="G62" s="140">
        <v>2353</v>
      </c>
      <c r="H62" s="141" t="s">
        <v>56</v>
      </c>
      <c r="I62" s="142" t="s">
        <v>166</v>
      </c>
      <c r="J62" s="143" t="s">
        <v>306</v>
      </c>
    </row>
    <row r="63" spans="1:10" ht="30" customHeight="1" x14ac:dyDescent="0.3">
      <c r="A63" s="126" t="s">
        <v>295</v>
      </c>
      <c r="B63" s="126" t="s">
        <v>307</v>
      </c>
      <c r="C63" s="126" t="s">
        <v>308</v>
      </c>
      <c r="D63" s="127">
        <v>0</v>
      </c>
      <c r="E63" s="127">
        <v>300000</v>
      </c>
      <c r="F63" s="128">
        <v>0</v>
      </c>
      <c r="G63" s="128">
        <v>3529</v>
      </c>
      <c r="H63" s="129" t="s">
        <v>56</v>
      </c>
      <c r="I63" s="130" t="s">
        <v>166</v>
      </c>
      <c r="J63" s="131" t="s">
        <v>278</v>
      </c>
    </row>
    <row r="64" spans="1:10" ht="15" customHeight="1" x14ac:dyDescent="0.3">
      <c r="A64" s="144" t="s">
        <v>309</v>
      </c>
      <c r="B64" s="144"/>
      <c r="C64" s="144"/>
      <c r="D64" s="145">
        <f>SUMIF(D59:D63,"&gt;0")</f>
        <v>0</v>
      </c>
      <c r="E64" s="145">
        <f>SUMIF(E59:E63,"&gt;0")</f>
        <v>2133000</v>
      </c>
      <c r="F64" s="146">
        <f>SUMIF(F59:F63,"&gt;0")</f>
        <v>0</v>
      </c>
      <c r="G64" s="146">
        <f>SUMIF(G59:G63,"&gt;0")</f>
        <v>25094</v>
      </c>
      <c r="H64" s="147"/>
      <c r="I64" s="147"/>
      <c r="J64" s="147"/>
    </row>
    <row r="65" spans="1:10" ht="18" customHeight="1" x14ac:dyDescent="0.3">
      <c r="A65" s="119" t="s">
        <v>310</v>
      </c>
      <c r="B65" s="119"/>
      <c r="C65" s="119"/>
      <c r="D65" s="119"/>
      <c r="E65" s="119"/>
      <c r="F65" s="119"/>
      <c r="G65" s="119"/>
      <c r="H65" s="119"/>
      <c r="I65" s="119"/>
      <c r="J65" s="119"/>
    </row>
    <row r="66" spans="1:10" ht="30" customHeight="1" x14ac:dyDescent="0.3">
      <c r="A66" s="126" t="s">
        <v>311</v>
      </c>
      <c r="B66" s="126" t="s">
        <v>312</v>
      </c>
      <c r="C66" s="126" t="s">
        <v>313</v>
      </c>
      <c r="D66" s="127">
        <v>58333</v>
      </c>
      <c r="E66" s="127">
        <v>1050000</v>
      </c>
      <c r="F66" s="128">
        <v>686</v>
      </c>
      <c r="G66" s="128">
        <v>12353</v>
      </c>
      <c r="H66" s="129" t="s">
        <v>56</v>
      </c>
      <c r="I66" s="130" t="s">
        <v>166</v>
      </c>
      <c r="J66" s="131" t="s">
        <v>314</v>
      </c>
    </row>
    <row r="67" spans="1:10" ht="30" customHeight="1" x14ac:dyDescent="0.3">
      <c r="A67" s="138" t="s">
        <v>311</v>
      </c>
      <c r="B67" s="138" t="s">
        <v>315</v>
      </c>
      <c r="C67" s="138" t="s">
        <v>316</v>
      </c>
      <c r="D67" s="139">
        <v>100000</v>
      </c>
      <c r="E67" s="139">
        <v>600000</v>
      </c>
      <c r="F67" s="140">
        <v>1176</v>
      </c>
      <c r="G67" s="140">
        <v>7059</v>
      </c>
      <c r="H67" s="141" t="s">
        <v>56</v>
      </c>
      <c r="I67" s="142" t="s">
        <v>166</v>
      </c>
      <c r="J67" s="143"/>
    </row>
    <row r="68" spans="1:10" ht="30" customHeight="1" x14ac:dyDescent="0.3">
      <c r="A68" s="126" t="s">
        <v>311</v>
      </c>
      <c r="B68" s="126" t="s">
        <v>317</v>
      </c>
      <c r="C68" s="126" t="s">
        <v>318</v>
      </c>
      <c r="D68" s="127">
        <v>30000</v>
      </c>
      <c r="E68" s="127">
        <v>540000</v>
      </c>
      <c r="F68" s="128">
        <v>353</v>
      </c>
      <c r="G68" s="128">
        <v>6353</v>
      </c>
      <c r="H68" s="129" t="s">
        <v>56</v>
      </c>
      <c r="I68" s="130" t="s">
        <v>166</v>
      </c>
      <c r="J68" s="131"/>
    </row>
    <row r="69" spans="1:10" ht="30" customHeight="1" x14ac:dyDescent="0.3">
      <c r="A69" s="138" t="s">
        <v>311</v>
      </c>
      <c r="B69" s="138" t="s">
        <v>319</v>
      </c>
      <c r="C69" s="138" t="s">
        <v>320</v>
      </c>
      <c r="D69" s="139">
        <v>0</v>
      </c>
      <c r="E69" s="139">
        <v>200000</v>
      </c>
      <c r="F69" s="140">
        <v>0</v>
      </c>
      <c r="G69" s="140">
        <v>2353</v>
      </c>
      <c r="H69" s="141" t="s">
        <v>56</v>
      </c>
      <c r="I69" s="142" t="s">
        <v>166</v>
      </c>
      <c r="J69" s="143" t="s">
        <v>278</v>
      </c>
    </row>
    <row r="70" spans="1:10" ht="30" customHeight="1" x14ac:dyDescent="0.3">
      <c r="A70" s="126" t="s">
        <v>311</v>
      </c>
      <c r="B70" s="126" t="s">
        <v>321</v>
      </c>
      <c r="C70" s="126" t="s">
        <v>322</v>
      </c>
      <c r="D70" s="127">
        <v>75000</v>
      </c>
      <c r="E70" s="127">
        <v>750000</v>
      </c>
      <c r="F70" s="128">
        <v>882</v>
      </c>
      <c r="G70" s="128">
        <v>8824</v>
      </c>
      <c r="H70" s="129" t="s">
        <v>56</v>
      </c>
      <c r="I70" s="130" t="s">
        <v>166</v>
      </c>
      <c r="J70" s="131"/>
    </row>
    <row r="71" spans="1:10" ht="30" customHeight="1" x14ac:dyDescent="0.3">
      <c r="A71" s="138" t="s">
        <v>311</v>
      </c>
      <c r="B71" s="138" t="s">
        <v>323</v>
      </c>
      <c r="C71" s="138" t="s">
        <v>324</v>
      </c>
      <c r="D71" s="139">
        <v>60000</v>
      </c>
      <c r="E71" s="139">
        <v>1080000</v>
      </c>
      <c r="F71" s="140">
        <v>706</v>
      </c>
      <c r="G71" s="140">
        <v>12706</v>
      </c>
      <c r="H71" s="141" t="s">
        <v>56</v>
      </c>
      <c r="I71" s="142" t="s">
        <v>166</v>
      </c>
      <c r="J71" s="143"/>
    </row>
    <row r="72" spans="1:10" ht="15" customHeight="1" x14ac:dyDescent="0.3">
      <c r="A72" s="144" t="s">
        <v>325</v>
      </c>
      <c r="B72" s="144"/>
      <c r="C72" s="144"/>
      <c r="D72" s="145">
        <f>SUMIF(D66:D71,"&gt;0")</f>
        <v>323333</v>
      </c>
      <c r="E72" s="145">
        <f>SUMIF(E66:E71,"&gt;0")</f>
        <v>4220000</v>
      </c>
      <c r="F72" s="146">
        <f>SUMIF(F66:F71,"&gt;0")</f>
        <v>3803</v>
      </c>
      <c r="G72" s="146">
        <f>SUMIF(G66:G71,"&gt;0")</f>
        <v>49648</v>
      </c>
      <c r="H72" s="147"/>
      <c r="I72" s="147"/>
      <c r="J72" s="147"/>
    </row>
    <row r="73" spans="1:10" ht="18" customHeight="1" x14ac:dyDescent="0.3">
      <c r="A73" s="119" t="s">
        <v>326</v>
      </c>
      <c r="B73" s="119"/>
      <c r="C73" s="119"/>
      <c r="D73" s="119"/>
      <c r="E73" s="119"/>
      <c r="F73" s="119"/>
      <c r="G73" s="119"/>
      <c r="H73" s="119"/>
      <c r="I73" s="119"/>
      <c r="J73" s="119"/>
    </row>
    <row r="74" spans="1:10" ht="30" customHeight="1" x14ac:dyDescent="0.3">
      <c r="A74" s="126" t="s">
        <v>327</v>
      </c>
      <c r="B74" s="126" t="s">
        <v>328</v>
      </c>
      <c r="C74" s="126" t="s">
        <v>329</v>
      </c>
      <c r="D74" s="127">
        <v>350000</v>
      </c>
      <c r="E74" s="127">
        <v>6300000</v>
      </c>
      <c r="F74" s="128">
        <v>5000</v>
      </c>
      <c r="G74" s="128">
        <v>90000</v>
      </c>
      <c r="H74" s="129" t="s">
        <v>56</v>
      </c>
      <c r="I74" s="130" t="s">
        <v>166</v>
      </c>
      <c r="J74" s="131"/>
    </row>
    <row r="75" spans="1:10" ht="30" customHeight="1" x14ac:dyDescent="0.3">
      <c r="A75" s="138" t="s">
        <v>327</v>
      </c>
      <c r="B75" s="138" t="s">
        <v>330</v>
      </c>
      <c r="C75" s="138" t="s">
        <v>331</v>
      </c>
      <c r="D75" s="139">
        <v>275000</v>
      </c>
      <c r="E75" s="139">
        <v>4950000</v>
      </c>
      <c r="F75" s="140">
        <v>2500</v>
      </c>
      <c r="G75" s="140">
        <v>45000</v>
      </c>
      <c r="H75" s="141" t="s">
        <v>56</v>
      </c>
      <c r="I75" s="142" t="s">
        <v>166</v>
      </c>
      <c r="J75" s="143" t="s">
        <v>332</v>
      </c>
    </row>
    <row r="76" spans="1:10" ht="30" customHeight="1" x14ac:dyDescent="0.3">
      <c r="A76" s="126" t="s">
        <v>327</v>
      </c>
      <c r="B76" s="126" t="s">
        <v>333</v>
      </c>
      <c r="C76" s="126" t="s">
        <v>334</v>
      </c>
      <c r="D76" s="127">
        <v>200000</v>
      </c>
      <c r="E76" s="127">
        <v>3600000</v>
      </c>
      <c r="F76" s="128">
        <v>2000</v>
      </c>
      <c r="G76" s="128">
        <v>36000</v>
      </c>
      <c r="H76" s="129" t="s">
        <v>56</v>
      </c>
      <c r="I76" s="130" t="s">
        <v>166</v>
      </c>
      <c r="J76" s="131"/>
    </row>
    <row r="77" spans="1:10" ht="30" customHeight="1" x14ac:dyDescent="0.3">
      <c r="A77" s="126" t="s">
        <v>327</v>
      </c>
      <c r="B77" s="126" t="s">
        <v>335</v>
      </c>
      <c r="C77" s="126" t="s">
        <v>336</v>
      </c>
      <c r="D77" s="127">
        <v>125000</v>
      </c>
      <c r="E77" s="127">
        <v>1500000</v>
      </c>
      <c r="F77" s="128">
        <v>1500</v>
      </c>
      <c r="G77" s="128">
        <v>18000</v>
      </c>
      <c r="H77" s="129" t="s">
        <v>56</v>
      </c>
      <c r="I77" s="130" t="s">
        <v>170</v>
      </c>
      <c r="J77" s="131" t="s">
        <v>337</v>
      </c>
    </row>
    <row r="78" spans="1:10" ht="15" customHeight="1" x14ac:dyDescent="0.3">
      <c r="A78" s="144" t="s">
        <v>338</v>
      </c>
      <c r="B78" s="144"/>
      <c r="C78" s="144"/>
      <c r="D78" s="145">
        <f>SUMIF(D74:D77,"&gt;0")</f>
        <v>950000</v>
      </c>
      <c r="E78" s="145">
        <f>SUMIF(E74:E77,"&gt;0")</f>
        <v>16350000</v>
      </c>
      <c r="F78" s="146">
        <f>SUMIF(F74:F77,"&gt;0")</f>
        <v>11000</v>
      </c>
      <c r="G78" s="146">
        <f>SUMIF(G74:G77,"&gt;0")</f>
        <v>189000</v>
      </c>
      <c r="H78" s="147"/>
      <c r="I78" s="147"/>
      <c r="J78" s="147"/>
    </row>
    <row r="81" spans="1:10" ht="21.75" customHeight="1" x14ac:dyDescent="0.3">
      <c r="A81" s="159" t="s">
        <v>518</v>
      </c>
      <c r="B81" s="159"/>
      <c r="C81" s="159"/>
      <c r="D81" s="159"/>
      <c r="E81" s="159"/>
      <c r="F81" s="159"/>
      <c r="G81" s="159"/>
      <c r="H81" s="159"/>
      <c r="I81" s="159"/>
      <c r="J81" s="159"/>
    </row>
    <row r="82" spans="1:10" ht="14.5" customHeight="1" x14ac:dyDescent="0.3">
      <c r="A82" s="160" t="s">
        <v>339</v>
      </c>
      <c r="B82" s="160"/>
      <c r="C82" s="160"/>
      <c r="D82" s="161"/>
      <c r="E82" s="162">
        <f>E12+E19+E29+E33+E38+E48+E57+E64+E72+E78</f>
        <v>27200725</v>
      </c>
      <c r="F82" s="161"/>
      <c r="G82" s="163">
        <f>G12+G19+G29+G33+G38+G48+G57+G64+G72+G78</f>
        <v>316684</v>
      </c>
      <c r="H82" s="161"/>
      <c r="I82" s="161"/>
      <c r="J82" s="161"/>
    </row>
    <row r="83" spans="1:10" ht="14.5" customHeight="1" x14ac:dyDescent="0.3">
      <c r="A83" s="160" t="s">
        <v>340</v>
      </c>
      <c r="B83" s="160"/>
      <c r="C83" s="160"/>
      <c r="D83" s="161"/>
      <c r="E83" s="162">
        <f>E82*0.2</f>
        <v>5440145</v>
      </c>
      <c r="F83" s="161"/>
      <c r="G83" s="163">
        <f>G82*0.2</f>
        <v>63336.800000000003</v>
      </c>
      <c r="H83" s="161"/>
      <c r="I83" s="161"/>
      <c r="J83" s="161"/>
    </row>
    <row r="84" spans="1:10" ht="14.5" customHeight="1" x14ac:dyDescent="0.3">
      <c r="A84" s="164" t="s">
        <v>341</v>
      </c>
      <c r="B84" s="164"/>
      <c r="C84" s="164"/>
      <c r="D84" s="165"/>
      <c r="E84" s="166">
        <f>E82+E83</f>
        <v>32640870</v>
      </c>
      <c r="F84" s="165"/>
      <c r="G84" s="167">
        <f>G82+G83</f>
        <v>380020.8</v>
      </c>
      <c r="H84" s="165"/>
      <c r="I84" s="165"/>
      <c r="J84" s="165"/>
    </row>
    <row r="87" spans="1:10" x14ac:dyDescent="0.3">
      <c r="C87" s="169" t="s">
        <v>517</v>
      </c>
      <c r="D87" s="169" t="s">
        <v>465</v>
      </c>
      <c r="E87" s="170" t="s">
        <v>522</v>
      </c>
      <c r="F87" s="169"/>
      <c r="G87" s="170" t="s">
        <v>523</v>
      </c>
    </row>
    <row r="88" spans="1:10" x14ac:dyDescent="0.3">
      <c r="C88" s="113" t="str">
        <f>'API Cost Assumptions'!A26</f>
        <v>Claude API Costing</v>
      </c>
      <c r="D88" s="113" t="s">
        <v>516</v>
      </c>
      <c r="E88" s="114">
        <f>'API Cost Assumptions'!F31</f>
        <v>7811721</v>
      </c>
      <c r="G88" s="168">
        <f>'API Cost Assumptions'!E31</f>
        <v>91902.6</v>
      </c>
    </row>
    <row r="89" spans="1:10" x14ac:dyDescent="0.3">
      <c r="C89" s="113" t="str">
        <f>'API Cost Assumptions'!A33</f>
        <v>Supabase (Pro M1-5 → Team M6+)</v>
      </c>
      <c r="D89" s="113" t="s">
        <v>516</v>
      </c>
      <c r="E89" s="114">
        <f>'API Cost Assumptions'!F36</f>
        <v>672520</v>
      </c>
      <c r="G89" s="168">
        <f>'API Cost Assumptions'!D36</f>
        <v>7912</v>
      </c>
    </row>
    <row r="90" spans="1:10" x14ac:dyDescent="0.3">
      <c r="C90" s="113" t="s">
        <v>519</v>
      </c>
      <c r="D90" s="113" t="s">
        <v>516</v>
      </c>
      <c r="E90" s="114">
        <f>'AWS Credit Utilisation'!J28*85</f>
        <v>1752530</v>
      </c>
      <c r="G90" s="168">
        <f>'AWS Credit Utilisation'!J28</f>
        <v>20618</v>
      </c>
      <c r="H90" s="174" t="s">
        <v>186</v>
      </c>
    </row>
    <row r="91" spans="1:10" x14ac:dyDescent="0.3">
      <c r="C91" s="113" t="s">
        <v>520</v>
      </c>
      <c r="D91" s="113" t="s">
        <v>516</v>
      </c>
      <c r="E91" s="114">
        <f>E82</f>
        <v>27200725</v>
      </c>
      <c r="G91" s="168">
        <f>G82</f>
        <v>316684</v>
      </c>
    </row>
    <row r="92" spans="1:10" x14ac:dyDescent="0.3">
      <c r="C92" s="113" t="s">
        <v>524</v>
      </c>
      <c r="D92" s="113" t="s">
        <v>516</v>
      </c>
      <c r="E92" s="114">
        <f>SUM(E88:E91)*20%</f>
        <v>7487499.2000000002</v>
      </c>
      <c r="G92" s="168">
        <f>SUM(G88:G91)*20%</f>
        <v>87423.32</v>
      </c>
    </row>
    <row r="93" spans="1:10" x14ac:dyDescent="0.3">
      <c r="C93" s="169" t="s">
        <v>521</v>
      </c>
      <c r="D93" s="169" t="s">
        <v>516</v>
      </c>
      <c r="E93" s="171">
        <f>SUM(E88:E92)</f>
        <v>44924995.200000003</v>
      </c>
      <c r="F93" s="172"/>
      <c r="G93" s="173">
        <f>SUM(G88:G92)</f>
        <v>524539.91999999993</v>
      </c>
    </row>
  </sheetData>
  <mergeCells count="27">
    <mergeCell ref="A83:C83"/>
    <mergeCell ref="A84:C84"/>
    <mergeCell ref="A72:C72"/>
    <mergeCell ref="A73:J73"/>
    <mergeCell ref="A78:C78"/>
    <mergeCell ref="A81:J81"/>
    <mergeCell ref="A82:C82"/>
    <mergeCell ref="A49:J49"/>
    <mergeCell ref="A57:C57"/>
    <mergeCell ref="A58:J58"/>
    <mergeCell ref="A64:C64"/>
    <mergeCell ref="A65:J65"/>
    <mergeCell ref="A33:C33"/>
    <mergeCell ref="A34:J34"/>
    <mergeCell ref="A38:C38"/>
    <mergeCell ref="A39:J39"/>
    <mergeCell ref="A48:C48"/>
    <mergeCell ref="A13:J13"/>
    <mergeCell ref="A19:C19"/>
    <mergeCell ref="A20:J20"/>
    <mergeCell ref="A29:C29"/>
    <mergeCell ref="A30:J30"/>
    <mergeCell ref="A1:J1"/>
    <mergeCell ref="A2:J2"/>
    <mergeCell ref="A3:J3"/>
    <mergeCell ref="A5:J5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A1F2-CA82-4E6E-AA39-62B5690B5C56}">
  <dimension ref="A1:J45"/>
  <sheetViews>
    <sheetView showGridLines="0" topLeftCell="A19" zoomScale="90" zoomScaleNormal="90" workbookViewId="0">
      <selection activeCell="F37" sqref="F37"/>
    </sheetView>
  </sheetViews>
  <sheetFormatPr defaultColWidth="8.6328125" defaultRowHeight="14.5" x14ac:dyDescent="0.35"/>
  <cols>
    <col min="1" max="1" width="28.81640625" customWidth="1"/>
    <col min="2" max="2" width="9.1796875" customWidth="1"/>
    <col min="3" max="3" width="16.36328125" customWidth="1"/>
    <col min="4" max="4" width="9.90625" customWidth="1"/>
    <col min="5" max="5" width="12.1796875" bestFit="1" customWidth="1"/>
    <col min="6" max="6" width="55.6328125" customWidth="1"/>
    <col min="7" max="7" width="16" customWidth="1"/>
    <col min="8" max="9" width="14" customWidth="1"/>
    <col min="10" max="10" width="34.36328125" customWidth="1"/>
  </cols>
  <sheetData>
    <row r="1" spans="1:6" ht="25.5" customHeight="1" x14ac:dyDescent="0.35">
      <c r="A1" s="49" t="s">
        <v>425</v>
      </c>
      <c r="B1" s="49"/>
      <c r="C1" s="49"/>
      <c r="D1" s="49"/>
      <c r="E1" s="49"/>
      <c r="F1" s="49"/>
    </row>
    <row r="2" spans="1:6" ht="13.5" customHeight="1" x14ac:dyDescent="0.35">
      <c r="A2" s="50" t="s">
        <v>426</v>
      </c>
      <c r="B2" s="50"/>
      <c r="C2" s="50"/>
      <c r="D2" s="50"/>
      <c r="E2" s="50"/>
      <c r="F2" s="50"/>
    </row>
    <row r="3" spans="1:6" ht="18" customHeight="1" x14ac:dyDescent="0.35">
      <c r="A3" s="51" t="s">
        <v>427</v>
      </c>
      <c r="B3" s="51"/>
      <c r="C3" s="51"/>
      <c r="D3" s="51"/>
      <c r="E3" s="51"/>
      <c r="F3" s="51"/>
    </row>
    <row r="4" spans="1:6" ht="18" customHeight="1" x14ac:dyDescent="0.35">
      <c r="A4" s="52" t="s">
        <v>428</v>
      </c>
      <c r="B4" s="52" t="s">
        <v>429</v>
      </c>
      <c r="C4" s="52" t="s">
        <v>430</v>
      </c>
      <c r="D4" s="52"/>
      <c r="E4" s="52"/>
      <c r="F4" s="52" t="s">
        <v>431</v>
      </c>
    </row>
    <row r="5" spans="1:6" ht="15.75" customHeight="1" x14ac:dyDescent="0.35">
      <c r="A5" s="53" t="s">
        <v>432</v>
      </c>
      <c r="B5" s="54">
        <v>3</v>
      </c>
      <c r="C5" s="55" t="s">
        <v>433</v>
      </c>
      <c r="D5" s="29"/>
      <c r="E5" s="29"/>
      <c r="F5" s="56" t="s">
        <v>434</v>
      </c>
    </row>
    <row r="6" spans="1:6" ht="15.75" customHeight="1" x14ac:dyDescent="0.35">
      <c r="A6" s="57" t="s">
        <v>435</v>
      </c>
      <c r="B6" s="58">
        <v>15</v>
      </c>
      <c r="C6" s="59" t="s">
        <v>433</v>
      </c>
      <c r="D6" s="60"/>
      <c r="E6" s="60"/>
      <c r="F6" s="61" t="s">
        <v>436</v>
      </c>
    </row>
    <row r="7" spans="1:6" ht="15.75" customHeight="1" x14ac:dyDescent="0.35">
      <c r="A7" s="53" t="s">
        <v>437</v>
      </c>
      <c r="B7" s="54">
        <v>0.3</v>
      </c>
      <c r="C7" s="55" t="s">
        <v>433</v>
      </c>
      <c r="D7" s="29"/>
      <c r="E7" s="29"/>
      <c r="F7" s="56" t="s">
        <v>438</v>
      </c>
    </row>
    <row r="8" spans="1:6" ht="15.75" customHeight="1" x14ac:dyDescent="0.35">
      <c r="A8" s="57" t="s">
        <v>112</v>
      </c>
      <c r="B8" s="58">
        <v>85</v>
      </c>
      <c r="C8" s="59" t="s">
        <v>439</v>
      </c>
      <c r="D8" s="60"/>
      <c r="E8" s="60"/>
      <c r="F8" s="61" t="s">
        <v>440</v>
      </c>
    </row>
    <row r="9" spans="1:6" ht="18" customHeight="1" x14ac:dyDescent="0.35">
      <c r="A9" s="51" t="s">
        <v>441</v>
      </c>
      <c r="B9" s="51"/>
      <c r="C9" s="51"/>
      <c r="D9" s="51"/>
      <c r="E9" s="51"/>
      <c r="F9" s="51"/>
    </row>
    <row r="10" spans="1:6" ht="18" customHeight="1" x14ac:dyDescent="0.35">
      <c r="A10" s="52" t="s">
        <v>442</v>
      </c>
      <c r="B10" s="52" t="s">
        <v>443</v>
      </c>
      <c r="C10" s="52" t="s">
        <v>444</v>
      </c>
      <c r="D10" s="52" t="s">
        <v>445</v>
      </c>
      <c r="E10" s="52"/>
      <c r="F10" s="52" t="s">
        <v>10</v>
      </c>
    </row>
    <row r="11" spans="1:6" ht="15.75" customHeight="1" x14ac:dyDescent="0.35">
      <c r="A11" s="53" t="s">
        <v>446</v>
      </c>
      <c r="B11" s="62">
        <v>42000</v>
      </c>
      <c r="C11" s="63" t="s">
        <v>447</v>
      </c>
      <c r="D11" s="64">
        <f>B11/1000000*$B$7</f>
        <v>1.26E-2</v>
      </c>
      <c r="E11" s="29"/>
      <c r="F11" s="56" t="s">
        <v>448</v>
      </c>
    </row>
    <row r="12" spans="1:6" ht="15.75" customHeight="1" x14ac:dyDescent="0.35">
      <c r="A12" s="57" t="s">
        <v>449</v>
      </c>
      <c r="B12" s="65">
        <v>7000</v>
      </c>
      <c r="C12" s="66" t="s">
        <v>450</v>
      </c>
      <c r="D12" s="67">
        <f>B12/1000000*$B$5</f>
        <v>2.1000000000000001E-2</v>
      </c>
      <c r="E12" s="60"/>
      <c r="F12" s="61" t="s">
        <v>451</v>
      </c>
    </row>
    <row r="13" spans="1:6" ht="15.75" customHeight="1" x14ac:dyDescent="0.35">
      <c r="A13" s="53" t="s">
        <v>452</v>
      </c>
      <c r="B13" s="62">
        <v>3500</v>
      </c>
      <c r="C13" s="63" t="s">
        <v>453</v>
      </c>
      <c r="D13" s="64">
        <f>B13/1000000*$B$6</f>
        <v>5.2499999999999998E-2</v>
      </c>
      <c r="E13" s="29"/>
      <c r="F13" s="56" t="s">
        <v>454</v>
      </c>
    </row>
    <row r="14" spans="1:6" ht="15.75" customHeight="1" x14ac:dyDescent="0.35">
      <c r="A14" s="57" t="s">
        <v>455</v>
      </c>
      <c r="B14" s="65">
        <v>4000</v>
      </c>
      <c r="C14" s="66" t="s">
        <v>447</v>
      </c>
      <c r="D14" s="67">
        <f>B14/1000000*$B$7</f>
        <v>1.1999999999999999E-3</v>
      </c>
      <c r="E14" s="60"/>
      <c r="F14" s="61" t="s">
        <v>456</v>
      </c>
    </row>
    <row r="15" spans="1:6" ht="15.75" customHeight="1" x14ac:dyDescent="0.35">
      <c r="A15" s="53" t="s">
        <v>457</v>
      </c>
      <c r="B15" s="62">
        <v>3500</v>
      </c>
      <c r="C15" s="63" t="s">
        <v>450</v>
      </c>
      <c r="D15" s="64">
        <f>B15/1000000*$B$5</f>
        <v>1.0500000000000001E-2</v>
      </c>
      <c r="E15" s="29"/>
      <c r="F15" s="56" t="s">
        <v>458</v>
      </c>
    </row>
    <row r="16" spans="1:6" ht="15.75" customHeight="1" x14ac:dyDescent="0.35">
      <c r="A16" s="57" t="s">
        <v>459</v>
      </c>
      <c r="B16" s="65">
        <v>800</v>
      </c>
      <c r="C16" s="66" t="s">
        <v>453</v>
      </c>
      <c r="D16" s="67">
        <f>B16/1000000*$B$6</f>
        <v>1.2E-2</v>
      </c>
      <c r="E16" s="60"/>
      <c r="F16" s="61" t="s">
        <v>460</v>
      </c>
    </row>
    <row r="17" spans="1:10" ht="18" customHeight="1" x14ac:dyDescent="0.35">
      <c r="A17" s="68" t="s">
        <v>461</v>
      </c>
      <c r="B17" s="68"/>
      <c r="C17" s="68"/>
      <c r="D17" s="69">
        <f>SUM(D11:D16)</f>
        <v>0.10980000000000001</v>
      </c>
      <c r="E17" s="70"/>
      <c r="F17" s="71" t="s">
        <v>462</v>
      </c>
    </row>
    <row r="19" spans="1:10" ht="18" customHeight="1" x14ac:dyDescent="0.35">
      <c r="A19" s="51" t="s">
        <v>463</v>
      </c>
      <c r="B19" s="51"/>
      <c r="C19" s="51"/>
      <c r="D19" s="51"/>
      <c r="E19" s="51"/>
      <c r="F19" s="51"/>
    </row>
    <row r="20" spans="1:10" ht="19.5" customHeight="1" x14ac:dyDescent="0.35">
      <c r="A20" s="72" t="s">
        <v>464</v>
      </c>
      <c r="B20" s="72" t="s">
        <v>465</v>
      </c>
      <c r="C20" s="72" t="s">
        <v>466</v>
      </c>
      <c r="D20" s="72" t="s">
        <v>467</v>
      </c>
      <c r="E20" s="72" t="s">
        <v>468</v>
      </c>
      <c r="F20" s="72" t="s">
        <v>469</v>
      </c>
      <c r="G20" s="72" t="s">
        <v>470</v>
      </c>
      <c r="H20" s="72" t="s">
        <v>471</v>
      </c>
      <c r="I20" s="72" t="s">
        <v>472</v>
      </c>
      <c r="J20" s="72" t="s">
        <v>10</v>
      </c>
    </row>
    <row r="21" spans="1:10" ht="15.75" customHeight="1" x14ac:dyDescent="0.35">
      <c r="A21" s="73" t="s">
        <v>473</v>
      </c>
      <c r="B21" s="74">
        <v>3</v>
      </c>
      <c r="C21" s="75">
        <v>200</v>
      </c>
      <c r="D21" s="76">
        <v>30</v>
      </c>
      <c r="E21" s="77">
        <f>C21*D21</f>
        <v>6000</v>
      </c>
      <c r="F21" s="78">
        <f>(E21*$D$17)</f>
        <v>658.80000000000007</v>
      </c>
      <c r="G21" s="79">
        <f>F21*$B$8</f>
        <v>55998.000000000007</v>
      </c>
      <c r="H21" s="79">
        <v>111975</v>
      </c>
      <c r="I21" s="80">
        <f>G21-H21</f>
        <v>-55976.999999999993</v>
      </c>
      <c r="J21" s="76" t="s">
        <v>474</v>
      </c>
    </row>
    <row r="22" spans="1:10" ht="15.75" customHeight="1" x14ac:dyDescent="0.35">
      <c r="A22" s="73" t="s">
        <v>475</v>
      </c>
      <c r="B22" s="74">
        <v>6</v>
      </c>
      <c r="C22" s="75">
        <v>800</v>
      </c>
      <c r="D22" s="76">
        <v>30</v>
      </c>
      <c r="E22" s="77">
        <f>C22*D22</f>
        <v>24000</v>
      </c>
      <c r="F22" s="78">
        <f>(E22*$D$17)</f>
        <v>2635.2000000000003</v>
      </c>
      <c r="G22" s="79">
        <f>F22*$B$8</f>
        <v>223992.00000000003</v>
      </c>
      <c r="H22" s="79">
        <v>111975</v>
      </c>
      <c r="I22" s="80">
        <f>G22-H22</f>
        <v>112017.00000000003</v>
      </c>
      <c r="J22" s="76" t="s">
        <v>476</v>
      </c>
    </row>
    <row r="23" spans="1:10" ht="15.75" customHeight="1" x14ac:dyDescent="0.35">
      <c r="A23" s="73" t="s">
        <v>477</v>
      </c>
      <c r="B23" s="74">
        <v>9</v>
      </c>
      <c r="C23" s="75">
        <v>2500</v>
      </c>
      <c r="D23" s="76">
        <v>30</v>
      </c>
      <c r="E23" s="77">
        <f>C23*D23</f>
        <v>75000</v>
      </c>
      <c r="F23" s="78">
        <f>(E23*$D$17)</f>
        <v>8235</v>
      </c>
      <c r="G23" s="79">
        <f>F23*$B$8</f>
        <v>699975</v>
      </c>
      <c r="H23" s="79">
        <v>111975</v>
      </c>
      <c r="I23" s="80">
        <f>G23-H23</f>
        <v>588000</v>
      </c>
      <c r="J23" s="76" t="s">
        <v>478</v>
      </c>
    </row>
    <row r="24" spans="1:10" ht="24.5" customHeight="1" x14ac:dyDescent="0.35">
      <c r="A24" s="81" t="s">
        <v>479</v>
      </c>
      <c r="B24" s="70"/>
      <c r="C24" s="70"/>
      <c r="D24" s="70"/>
      <c r="E24" s="70"/>
      <c r="F24" s="70"/>
      <c r="G24" s="82">
        <f>G21*B21+G22*B22+G23*B23</f>
        <v>7811721</v>
      </c>
      <c r="H24" s="83">
        <v>2015550</v>
      </c>
      <c r="I24" s="84">
        <f>G24-H24</f>
        <v>5796171</v>
      </c>
      <c r="J24" s="85" t="s">
        <v>480</v>
      </c>
    </row>
    <row r="26" spans="1:10" x14ac:dyDescent="0.35">
      <c r="A26" s="86" t="s">
        <v>481</v>
      </c>
    </row>
    <row r="27" spans="1:10" ht="21" x14ac:dyDescent="0.35">
      <c r="A27" s="87" t="s">
        <v>464</v>
      </c>
      <c r="B27" s="87" t="s">
        <v>465</v>
      </c>
      <c r="C27" s="87" t="s">
        <v>468</v>
      </c>
      <c r="D27" s="87" t="s">
        <v>482</v>
      </c>
      <c r="E27" s="87" t="s">
        <v>483</v>
      </c>
      <c r="F27" s="87" t="s">
        <v>484</v>
      </c>
    </row>
    <row r="28" spans="1:10" x14ac:dyDescent="0.35">
      <c r="A28" s="88" t="s">
        <v>473</v>
      </c>
      <c r="B28" s="89">
        <v>3</v>
      </c>
      <c r="C28" s="90">
        <f>E21</f>
        <v>6000</v>
      </c>
      <c r="D28" s="90">
        <f>C28*B28</f>
        <v>18000</v>
      </c>
      <c r="E28" s="90">
        <f>D28*$D$17</f>
        <v>1976.4</v>
      </c>
      <c r="F28" s="90">
        <f>E28*$B$8</f>
        <v>167994</v>
      </c>
    </row>
    <row r="29" spans="1:10" x14ac:dyDescent="0.35">
      <c r="A29" s="88" t="s">
        <v>475</v>
      </c>
      <c r="B29" s="89">
        <v>6</v>
      </c>
      <c r="C29" s="90">
        <f t="shared" ref="C29:C30" si="0">E22</f>
        <v>24000</v>
      </c>
      <c r="D29" s="90">
        <f t="shared" ref="D29:D30" si="1">C29*B29</f>
        <v>144000</v>
      </c>
      <c r="E29" s="90">
        <f t="shared" ref="E29:E30" si="2">D29*$D$17</f>
        <v>15811.2</v>
      </c>
      <c r="F29" s="90">
        <f t="shared" ref="F29" si="3">E29*$B$8</f>
        <v>1343952</v>
      </c>
    </row>
    <row r="30" spans="1:10" x14ac:dyDescent="0.35">
      <c r="A30" s="88" t="s">
        <v>477</v>
      </c>
      <c r="B30" s="89">
        <v>9</v>
      </c>
      <c r="C30" s="90">
        <f t="shared" si="0"/>
        <v>75000</v>
      </c>
      <c r="D30" s="90">
        <f t="shared" si="1"/>
        <v>675000</v>
      </c>
      <c r="E30" s="90">
        <f t="shared" si="2"/>
        <v>74115</v>
      </c>
      <c r="F30" s="90">
        <f>E30*$B$8</f>
        <v>6299775</v>
      </c>
    </row>
    <row r="31" spans="1:10" x14ac:dyDescent="0.35">
      <c r="A31" s="91" t="s">
        <v>479</v>
      </c>
      <c r="B31" s="92"/>
      <c r="C31" s="93">
        <f>SUM(C28:C30)</f>
        <v>105000</v>
      </c>
      <c r="D31" s="93">
        <f>SUM(D28:D30)</f>
        <v>837000</v>
      </c>
      <c r="E31" s="93">
        <f>SUM(E28:E30)</f>
        <v>91902.6</v>
      </c>
      <c r="F31" s="94">
        <f>SUM(F28:F30)</f>
        <v>7811721</v>
      </c>
    </row>
    <row r="32" spans="1:10" x14ac:dyDescent="0.35">
      <c r="A32" s="95"/>
      <c r="B32" s="96"/>
      <c r="C32" s="97"/>
      <c r="D32" s="97"/>
      <c r="E32" s="97"/>
      <c r="F32" s="98"/>
    </row>
    <row r="33" spans="1:8" x14ac:dyDescent="0.35">
      <c r="A33" s="87" t="s">
        <v>485</v>
      </c>
      <c r="B33" s="87" t="s">
        <v>465</v>
      </c>
      <c r="C33" s="87" t="s">
        <v>486</v>
      </c>
      <c r="D33" s="87" t="s">
        <v>487</v>
      </c>
      <c r="E33" s="87"/>
      <c r="F33" s="87" t="s">
        <v>484</v>
      </c>
    </row>
    <row r="34" spans="1:8" x14ac:dyDescent="0.35">
      <c r="A34" s="88" t="s">
        <v>488</v>
      </c>
      <c r="B34" s="89">
        <v>5</v>
      </c>
      <c r="C34" s="89">
        <v>25</v>
      </c>
      <c r="D34" s="89">
        <f>C34*B34</f>
        <v>125</v>
      </c>
      <c r="E34" s="89"/>
      <c r="F34" s="99">
        <f>D34*$B$8</f>
        <v>10625</v>
      </c>
    </row>
    <row r="35" spans="1:8" x14ac:dyDescent="0.35">
      <c r="A35" s="88" t="s">
        <v>489</v>
      </c>
      <c r="B35" s="89">
        <f>18-5</f>
        <v>13</v>
      </c>
      <c r="C35" s="89">
        <v>599</v>
      </c>
      <c r="D35" s="89">
        <f>C35*B35</f>
        <v>7787</v>
      </c>
      <c r="E35" s="89"/>
      <c r="F35" s="99">
        <f>D35*$B$8</f>
        <v>661895</v>
      </c>
    </row>
    <row r="36" spans="1:8" x14ac:dyDescent="0.35">
      <c r="A36" s="91" t="s">
        <v>490</v>
      </c>
      <c r="B36" s="100">
        <f>SUM(B34:B35)</f>
        <v>18</v>
      </c>
      <c r="C36" s="100"/>
      <c r="D36" s="100">
        <f>SUM(D34:D35)</f>
        <v>7912</v>
      </c>
      <c r="E36" s="100"/>
      <c r="F36" s="101">
        <f>SUM(F34:F35)</f>
        <v>672520</v>
      </c>
    </row>
    <row r="37" spans="1:8" x14ac:dyDescent="0.35">
      <c r="A37" s="102"/>
      <c r="B37" s="103"/>
    </row>
    <row r="38" spans="1:8" ht="18" customHeight="1" x14ac:dyDescent="0.35">
      <c r="A38" s="51" t="s">
        <v>491</v>
      </c>
      <c r="B38" s="51"/>
      <c r="C38" s="51"/>
      <c r="D38" s="51"/>
      <c r="E38" s="51"/>
      <c r="F38" s="51"/>
    </row>
    <row r="39" spans="1:8" ht="18" customHeight="1" x14ac:dyDescent="0.35">
      <c r="A39" s="72" t="s">
        <v>492</v>
      </c>
      <c r="B39" s="72" t="s">
        <v>493</v>
      </c>
      <c r="C39" s="72" t="s">
        <v>494</v>
      </c>
      <c r="D39" s="72" t="s">
        <v>495</v>
      </c>
      <c r="E39" s="72" t="s">
        <v>496</v>
      </c>
      <c r="F39" s="72" t="s">
        <v>497</v>
      </c>
    </row>
    <row r="40" spans="1:8" ht="36" customHeight="1" x14ac:dyDescent="0.35">
      <c r="A40" s="104" t="s">
        <v>498</v>
      </c>
      <c r="B40" s="105" t="s">
        <v>499</v>
      </c>
      <c r="C40" s="106" t="s">
        <v>500</v>
      </c>
      <c r="D40" s="107">
        <v>3750</v>
      </c>
      <c r="E40" s="108">
        <f>D40*18</f>
        <v>67500</v>
      </c>
      <c r="F40" s="109" t="s">
        <v>501</v>
      </c>
    </row>
    <row r="41" spans="1:8" ht="36" customHeight="1" x14ac:dyDescent="0.35">
      <c r="A41" s="104" t="s">
        <v>502</v>
      </c>
      <c r="B41" s="105" t="s">
        <v>503</v>
      </c>
      <c r="C41" s="106" t="s">
        <v>504</v>
      </c>
      <c r="D41" s="107">
        <v>5000</v>
      </c>
      <c r="E41" s="108">
        <f>D41*18</f>
        <v>90000</v>
      </c>
      <c r="F41" s="109" t="s">
        <v>505</v>
      </c>
    </row>
    <row r="42" spans="1:8" ht="36" customHeight="1" x14ac:dyDescent="0.35">
      <c r="A42" s="104" t="s">
        <v>506</v>
      </c>
      <c r="B42" s="105" t="s">
        <v>507</v>
      </c>
      <c r="C42" s="106" t="s">
        <v>508</v>
      </c>
      <c r="D42" s="107">
        <v>1690</v>
      </c>
      <c r="E42" s="108">
        <f>D42*12</f>
        <v>20280</v>
      </c>
      <c r="F42" s="109" t="s">
        <v>509</v>
      </c>
    </row>
    <row r="43" spans="1:8" ht="36" customHeight="1" x14ac:dyDescent="0.35">
      <c r="A43" s="104" t="s">
        <v>510</v>
      </c>
      <c r="B43" s="105" t="s">
        <v>511</v>
      </c>
      <c r="C43" s="106" t="s">
        <v>512</v>
      </c>
      <c r="D43" s="107">
        <v>52875</v>
      </c>
      <c r="E43" s="108">
        <f>D43*5</f>
        <v>264375</v>
      </c>
      <c r="F43" s="109" t="s">
        <v>513</v>
      </c>
    </row>
    <row r="44" spans="1:8" ht="15.75" customHeight="1" x14ac:dyDescent="0.35">
      <c r="A44" s="68" t="s">
        <v>514</v>
      </c>
      <c r="B44" s="68"/>
      <c r="C44" s="68"/>
      <c r="D44" s="70"/>
      <c r="E44" s="110">
        <f>SUM(E40:E43)</f>
        <v>442155</v>
      </c>
      <c r="F44" s="111" t="s">
        <v>515</v>
      </c>
    </row>
    <row r="45" spans="1:8" x14ac:dyDescent="0.35">
      <c r="H45" s="112"/>
    </row>
  </sheetData>
  <mergeCells count="8">
    <mergeCell ref="A38:F38"/>
    <mergeCell ref="A44:C44"/>
    <mergeCell ref="A1:F1"/>
    <mergeCell ref="A2:F2"/>
    <mergeCell ref="A3:F3"/>
    <mergeCell ref="A9:F9"/>
    <mergeCell ref="A17:C17"/>
    <mergeCell ref="A19:F19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topLeftCell="A14" zoomScaleNormal="100" workbookViewId="0">
      <selection activeCell="B19" sqref="B19"/>
    </sheetView>
  </sheetViews>
  <sheetFormatPr defaultColWidth="8.6328125" defaultRowHeight="14.5" x14ac:dyDescent="0.35"/>
  <cols>
    <col min="1" max="1" width="30" customWidth="1"/>
    <col min="2" max="3" width="22" customWidth="1"/>
    <col min="4" max="4" width="18" customWidth="1"/>
    <col min="5" max="5" width="36" customWidth="1"/>
  </cols>
  <sheetData>
    <row r="1" spans="1:5" ht="24" customHeight="1" x14ac:dyDescent="0.35">
      <c r="A1" s="4" t="s">
        <v>342</v>
      </c>
      <c r="B1" s="4"/>
      <c r="C1" s="4"/>
      <c r="D1" s="4"/>
      <c r="E1" s="4"/>
    </row>
    <row r="2" spans="1:5" ht="13.5" customHeight="1" x14ac:dyDescent="0.35">
      <c r="A2" s="3" t="s">
        <v>343</v>
      </c>
      <c r="B2" s="3"/>
      <c r="C2" s="3"/>
      <c r="D2" s="3"/>
      <c r="E2" s="3"/>
    </row>
    <row r="3" spans="1:5" ht="19.5" customHeight="1" x14ac:dyDescent="0.35">
      <c r="A3" s="5" t="s">
        <v>344</v>
      </c>
      <c r="B3" s="5" t="s">
        <v>345</v>
      </c>
      <c r="C3" s="5" t="s">
        <v>346</v>
      </c>
      <c r="D3" s="5" t="s">
        <v>347</v>
      </c>
      <c r="E3" s="5" t="s">
        <v>348</v>
      </c>
    </row>
    <row r="4" spans="1:5" ht="46" x14ac:dyDescent="0.35">
      <c r="A4" s="19" t="s">
        <v>349</v>
      </c>
      <c r="B4" s="40" t="s">
        <v>350</v>
      </c>
      <c r="C4" s="6" t="s">
        <v>351</v>
      </c>
      <c r="D4" s="19" t="s">
        <v>352</v>
      </c>
      <c r="E4" s="23" t="s">
        <v>353</v>
      </c>
    </row>
    <row r="5" spans="1:5" ht="46" x14ac:dyDescent="0.35">
      <c r="A5" s="14" t="s">
        <v>354</v>
      </c>
      <c r="B5" s="40" t="s">
        <v>355</v>
      </c>
      <c r="C5" s="6" t="s">
        <v>356</v>
      </c>
      <c r="D5" s="14" t="s">
        <v>357</v>
      </c>
      <c r="E5" s="18" t="s">
        <v>358</v>
      </c>
    </row>
    <row r="6" spans="1:5" ht="46" x14ac:dyDescent="0.35">
      <c r="A6" s="19" t="s">
        <v>359</v>
      </c>
      <c r="B6" s="40" t="s">
        <v>360</v>
      </c>
      <c r="C6" s="6" t="s">
        <v>361</v>
      </c>
      <c r="D6" s="19" t="s">
        <v>362</v>
      </c>
      <c r="E6" s="23" t="s">
        <v>363</v>
      </c>
    </row>
    <row r="7" spans="1:5" ht="57.5" x14ac:dyDescent="0.35">
      <c r="A7" s="14" t="s">
        <v>364</v>
      </c>
      <c r="B7" s="40" t="s">
        <v>365</v>
      </c>
      <c r="C7" s="6" t="s">
        <v>366</v>
      </c>
      <c r="D7" s="14" t="s">
        <v>367</v>
      </c>
      <c r="E7" s="18" t="s">
        <v>368</v>
      </c>
    </row>
    <row r="8" spans="1:5" ht="46" x14ac:dyDescent="0.35">
      <c r="A8" s="19" t="s">
        <v>45</v>
      </c>
      <c r="B8" s="40" t="s">
        <v>369</v>
      </c>
      <c r="C8" s="6" t="s">
        <v>370</v>
      </c>
      <c r="D8" s="19" t="s">
        <v>371</v>
      </c>
      <c r="E8" s="23" t="s">
        <v>372</v>
      </c>
    </row>
    <row r="9" spans="1:5" ht="46" x14ac:dyDescent="0.35">
      <c r="A9" s="14" t="s">
        <v>373</v>
      </c>
      <c r="B9" s="40" t="s">
        <v>374</v>
      </c>
      <c r="C9" s="6" t="s">
        <v>375</v>
      </c>
      <c r="D9" s="14" t="s">
        <v>376</v>
      </c>
      <c r="E9" s="18" t="s">
        <v>377</v>
      </c>
    </row>
    <row r="10" spans="1:5" ht="46" x14ac:dyDescent="0.35">
      <c r="A10" s="19" t="s">
        <v>378</v>
      </c>
      <c r="B10" s="40" t="s">
        <v>379</v>
      </c>
      <c r="C10" s="6" t="s">
        <v>380</v>
      </c>
      <c r="D10" s="19" t="s">
        <v>381</v>
      </c>
      <c r="E10" s="23" t="s">
        <v>382</v>
      </c>
    </row>
    <row r="11" spans="1:5" ht="46" x14ac:dyDescent="0.35">
      <c r="A11" s="14" t="s">
        <v>383</v>
      </c>
      <c r="B11" s="40" t="s">
        <v>384</v>
      </c>
      <c r="C11" s="6" t="s">
        <v>385</v>
      </c>
      <c r="D11" s="14" t="s">
        <v>386</v>
      </c>
      <c r="E11" s="18" t="s">
        <v>387</v>
      </c>
    </row>
    <row r="12" spans="1:5" ht="36" x14ac:dyDescent="0.35">
      <c r="A12" s="19" t="s">
        <v>388</v>
      </c>
      <c r="B12" s="40" t="s">
        <v>389</v>
      </c>
      <c r="C12" s="6" t="s">
        <v>390</v>
      </c>
      <c r="D12" s="19" t="s">
        <v>391</v>
      </c>
      <c r="E12" s="23" t="s">
        <v>392</v>
      </c>
    </row>
    <row r="13" spans="1:5" ht="46" x14ac:dyDescent="0.35">
      <c r="A13" s="14" t="s">
        <v>393</v>
      </c>
      <c r="B13" s="40" t="s">
        <v>394</v>
      </c>
      <c r="C13" s="6" t="s">
        <v>395</v>
      </c>
      <c r="D13" s="14" t="s">
        <v>396</v>
      </c>
      <c r="E13" s="18" t="s">
        <v>397</v>
      </c>
    </row>
    <row r="14" spans="1:5" ht="46" x14ac:dyDescent="0.35">
      <c r="A14" s="19" t="s">
        <v>76</v>
      </c>
      <c r="B14" s="40" t="s">
        <v>398</v>
      </c>
      <c r="C14" s="6" t="s">
        <v>399</v>
      </c>
      <c r="D14" s="19" t="s">
        <v>400</v>
      </c>
      <c r="E14" s="23" t="s">
        <v>401</v>
      </c>
    </row>
    <row r="15" spans="1:5" ht="46" x14ac:dyDescent="0.35">
      <c r="A15" s="14" t="s">
        <v>72</v>
      </c>
      <c r="B15" s="40" t="s">
        <v>402</v>
      </c>
      <c r="C15" s="6" t="s">
        <v>403</v>
      </c>
      <c r="D15" s="14" t="s">
        <v>404</v>
      </c>
      <c r="E15" s="18" t="s">
        <v>405</v>
      </c>
    </row>
    <row r="16" spans="1:5" ht="46" x14ac:dyDescent="0.35">
      <c r="A16" s="19" t="s">
        <v>88</v>
      </c>
      <c r="B16" s="40" t="s">
        <v>406</v>
      </c>
      <c r="C16" s="6" t="s">
        <v>407</v>
      </c>
      <c r="D16" s="19" t="s">
        <v>408</v>
      </c>
      <c r="E16" s="23" t="s">
        <v>409</v>
      </c>
    </row>
    <row r="17" spans="1:5" ht="46" x14ac:dyDescent="0.35">
      <c r="A17" s="14" t="s">
        <v>410</v>
      </c>
      <c r="B17" s="40" t="s">
        <v>411</v>
      </c>
      <c r="C17" s="6" t="s">
        <v>412</v>
      </c>
      <c r="D17" s="14" t="s">
        <v>413</v>
      </c>
      <c r="E17" s="18" t="s">
        <v>414</v>
      </c>
    </row>
    <row r="18" spans="1:5" ht="46" x14ac:dyDescent="0.35">
      <c r="A18" s="19" t="s">
        <v>415</v>
      </c>
      <c r="B18" s="40" t="s">
        <v>416</v>
      </c>
      <c r="C18" s="6" t="s">
        <v>417</v>
      </c>
      <c r="D18" s="19" t="s">
        <v>418</v>
      </c>
      <c r="E18" s="23" t="s">
        <v>419</v>
      </c>
    </row>
    <row r="19" spans="1:5" ht="46" x14ac:dyDescent="0.35">
      <c r="A19" s="14" t="s">
        <v>420</v>
      </c>
      <c r="B19" s="40" t="s">
        <v>421</v>
      </c>
      <c r="C19" s="6" t="s">
        <v>422</v>
      </c>
      <c r="D19" s="14" t="s">
        <v>423</v>
      </c>
      <c r="E19" s="18" t="s">
        <v>424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AWS Substitution Map</vt:lpstr>
      <vt:lpstr>AWS Credit Utilisation</vt:lpstr>
      <vt:lpstr>Revised BOM — AWS First</vt:lpstr>
      <vt:lpstr>API Cost Assumptions</vt:lpstr>
      <vt:lpstr>SOW Changes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Parthasarathi Das</cp:lastModifiedBy>
  <cp:revision>0</cp:revision>
  <dcterms:created xsi:type="dcterms:W3CDTF">2026-05-23T18:00:59Z</dcterms:created>
  <dcterms:modified xsi:type="dcterms:W3CDTF">2026-05-25T13:43:30Z</dcterms:modified>
  <dc:language>en-US</dc:language>
</cp:coreProperties>
</file>